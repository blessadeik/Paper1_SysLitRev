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essadeik/Documents/PhD Stuff/My PhD Research/My Papers/Paper 1_ Systematic Review/Split SLR/Paper 1_/Additional docs/Sections fig tables used/Figures/"/>
    </mc:Choice>
  </mc:AlternateContent>
  <xr:revisionPtr revIDLastSave="0" documentId="13_ncr:1_{FA2599A9-1D97-244E-A4AC-A82ACADB7D60}" xr6:coauthVersionLast="47" xr6:coauthVersionMax="47" xr10:uidLastSave="{00000000-0000-0000-0000-000000000000}"/>
  <bookViews>
    <workbookView xWindow="0" yWindow="760" windowWidth="38400" windowHeight="24100" activeTab="6" xr2:uid="{26AF8ED9-B912-0C40-B66C-113AB8E53806}"/>
  </bookViews>
  <sheets>
    <sheet name="Figure 2 — Raw Data" sheetId="2" r:id="rId1"/>
    <sheet name="Figure 3 — Raw Data" sheetId="3" r:id="rId2"/>
    <sheet name="Figure 3 — Chart Data" sheetId="4" r:id="rId3"/>
    <sheet name="Figure 4 — Raw Data" sheetId="8" r:id="rId4"/>
    <sheet name="Figure 4 — Evidence Reference" sheetId="9" r:id="rId5"/>
    <sheet name="Figure 5 — Raw Data" sheetId="5" r:id="rId6"/>
    <sheet name="Figure 5 — Chart" sheetId="6" r:id="rId7"/>
    <sheet name="Figure 6 — Raw Data" sheetId="7" r:id="rId8"/>
  </sheets>
  <externalReferences>
    <externalReference r:id="rId9"/>
    <externalReference r:id="rId10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5" l="1"/>
  <c r="F18" i="5"/>
  <c r="E18" i="5"/>
  <c r="D18" i="5"/>
  <c r="C18" i="5"/>
  <c r="B18" i="5"/>
</calcChain>
</file>

<file path=xl/sharedStrings.xml><?xml version="1.0" encoding="utf-8"?>
<sst xmlns="http://schemas.openxmlformats.org/spreadsheetml/2006/main" count="584" uniqueCount="385">
  <si>
    <t>Architecture Era</t>
  </si>
  <si>
    <t>Start Year</t>
  </si>
  <si>
    <t>End Year</t>
  </si>
  <si>
    <t>Dominant studies (n)</t>
  </si>
  <si>
    <t>Key capability</t>
  </si>
  <si>
    <t>Color (ref)</t>
  </si>
  <si>
    <t>Section</t>
  </si>
  <si>
    <t>Traditional ML (HMM / SVM / LDA)</t>
  </si>
  <si>
    <t>~8</t>
  </si>
  <si>
    <t>Handcrafted features; interpretable; WER 25% baseline (Herff 2015)</t>
  </si>
  <si>
    <t>#FFF2CC / #BA7517</t>
  </si>
  <si>
    <t>§4.1</t>
  </si>
  <si>
    <t>CNN / RNN / LSTM</t>
  </si>
  <si>
    <t>~23</t>
  </si>
  <si>
    <t>End-to-end feature learning; temporal modelling; first deep synthesis</t>
  </si>
  <si>
    <t>#DEEAF1 / #185FA5</t>
  </si>
  <si>
    <t>§4.2–4.3</t>
  </si>
  <si>
    <t>Encoder-Decoder (Seq2Seq)</t>
  </si>
  <si>
    <t>~7</t>
  </si>
  <si>
    <t>Variable-length mapping; brain-to-text pipelines; WER ~3% (Makin 2020)</t>
  </si>
  <si>
    <t>#E2EFDA / #375623</t>
  </si>
  <si>
    <t>§4.4</t>
  </si>
  <si>
    <t>Transformer (self-attention)</t>
  </si>
  <si>
    <t>~10</t>
  </si>
  <si>
    <t>Long-range dependency; scalable; dominates non-invasive post-2022</t>
  </si>
  <si>
    <t>#EAD1F5 / #4B0082</t>
  </si>
  <si>
    <t>§4.5</t>
  </si>
  <si>
    <t>SSL / Contrastive pre-training</t>
  </si>
  <si>
    <t>Large unlabeled corpora; +5–15% accuracy gains; BENDR, BrainBERT</t>
  </si>
  <si>
    <t>#FCE4D6 / #843C0C</t>
  </si>
  <si>
    <t>§4.6</t>
  </si>
  <si>
    <t>LLM-integrated / Foundation</t>
  </si>
  <si>
    <t>~14</t>
  </si>
  <si>
    <t>Language model priors; WER -14pp from LM rescoring; only 20% of studies</t>
  </si>
  <si>
    <t>#E8F8F5 / #00796B</t>
  </si>
  <si>
    <t>§4.7</t>
  </si>
  <si>
    <t>Study (Authors &amp; Year)</t>
  </si>
  <si>
    <t>Year</t>
  </si>
  <si>
    <t>Modality</t>
  </si>
  <si>
    <t>Key metric / result</t>
  </si>
  <si>
    <t>DOI (short)</t>
  </si>
  <si>
    <t>Figure annotation</t>
  </si>
  <si>
    <t>Herff et al. (2015)</t>
  </si>
  <si>
    <t>Traditional ML</t>
  </si>
  <si>
    <t>ECoG</t>
  </si>
  <si>
    <t>fnins.2015.00217</t>
  </si>
  <si>
    <t>Herff 2015
Brain-to-Text
(HMM baseline, WER 25%)</t>
  </si>
  <si>
    <t>Schirrmeister et al. (2017)</t>
  </si>
  <si>
    <t>CNN / RNN</t>
  </si>
  <si>
    <t>EEG</t>
  </si>
  <si>
    <t>hbm.23730</t>
  </si>
  <si>
    <t>Schirrmeister 2017
DeepConvNet
(CNN for EEG)</t>
  </si>
  <si>
    <t>Angrick et al. (2019)</t>
  </si>
  <si>
    <t>ab0c59</t>
  </si>
  <si>
    <t>Angrick 2019
DenseNet 3D
(CNN ECoG synthesis)</t>
  </si>
  <si>
    <t>Anumanchipalli et al. (2019)</t>
  </si>
  <si>
    <t>Encoder-Decoder</t>
  </si>
  <si>
    <t>First intelligible ECoG speech (Nature)</t>
  </si>
  <si>
    <t>s41586-019-1119-1</t>
  </si>
  <si>
    <t>Anumanchipalli 2019
Articulatory ED
(Nature)</t>
  </si>
  <si>
    <t>Makin, Moses &amp; Chang (2020)</t>
  </si>
  <si>
    <t>WER ~3% constrained corpus (Nat. Neurosci.)</t>
  </si>
  <si>
    <t>s41593-020-0608-8</t>
  </si>
  <si>
    <t>Makin 2020
Machine translation
(ED RNN, WER 3%)</t>
  </si>
  <si>
    <t>Vaswani et al. (2017→BCI 2021)</t>
  </si>
  <si>
    <t>Transformer</t>
  </si>
  <si>
    <t>NLP→BCI</t>
  </si>
  <si>
    <t>Self-attention foundational architecture</t>
  </si>
  <si>
    <t>1706.03762</t>
  </si>
  <si>
    <t>Vaswani 2017
Attention is All
You Need (NLP→BCI)</t>
  </si>
  <si>
    <t>SSL</t>
  </si>
  <si>
    <t>+5–15% accuracy; SSL pre-training for EEG</t>
  </si>
  <si>
    <t>fnhum.2021.653659</t>
  </si>
  <si>
    <t>Kostas 2021
BENDR
(SSL for EEG)</t>
  </si>
  <si>
    <t>Wang &amp; Ji (2022)</t>
  </si>
  <si>
    <t>Transformer + LLM</t>
  </si>
  <si>
    <t>First open-vocab EEG-to-text (TF+BART)</t>
  </si>
  <si>
    <t>AAAI 2022</t>
  </si>
  <si>
    <t>Wang &amp; Ji 2022
Open-vocab EEG
(TF + BART)</t>
  </si>
  <si>
    <t>Défossez et al. (2023)</t>
  </si>
  <si>
    <t>MEG/EEG</t>
  </si>
  <si>
    <t>Top-1 41%, n=175, 4 datasets (Nat. Mach. Intel.)</t>
  </si>
  <si>
    <t>s42256-023-00714-5</t>
  </si>
  <si>
    <t>Défossez 2023
Contrastive SSL
n=175 MEG/EEG</t>
  </si>
  <si>
    <t>Tang et al. (2023)</t>
  </si>
  <si>
    <t>LLM-integrated</t>
  </si>
  <si>
    <t>fMRI</t>
  </si>
  <si>
    <t>100% story identification (Nat. Neurosci.)</t>
  </si>
  <si>
    <t>s41593-023-01304-9</t>
  </si>
  <si>
    <t>Tang 2023
Brain-GPT fMRI
(100% story ID)</t>
  </si>
  <si>
    <t>iEEG</t>
  </si>
  <si>
    <t>First iEEG SSL foundation model (ICLR 2023)</t>
  </si>
  <si>
    <t>arXiv 2302.14367</t>
  </si>
  <si>
    <t>Wang 2023
BrainBERT
(iEEG SSL, ICLR)</t>
  </si>
  <si>
    <t>Card et al. (2024)</t>
  </si>
  <si>
    <t>Intracortical</t>
  </si>
  <si>
    <t>WER 2.5%; 8+ months sustained (NEJM)</t>
  </si>
  <si>
    <t>NEJMoa2314132</t>
  </si>
  <si>
    <t>Card 2024
WER 2.5%
(RNN+LM, NEJM)</t>
  </si>
  <si>
    <t>d'Ascoli et al. (2025)</t>
  </si>
  <si>
    <t>n=723, 3 languages, 7 datasets (Nat. Commun.)</t>
  </si>
  <si>
    <t>Nat. Commun. 2025</t>
  </si>
  <si>
    <t>d'Ascoli 2025
n=723, 3 languages
(CNN+TF)</t>
  </si>
  <si>
    <t>Study</t>
  </si>
  <si>
    <t>WER (%)</t>
  </si>
  <si>
    <t>Task type</t>
  </si>
  <si>
    <t>Constrained corpus?</t>
  </si>
  <si>
    <t>Participants (n)</t>
  </si>
  <si>
    <t>Notes</t>
  </si>
  <si>
    <t>Overt</t>
  </si>
  <si>
    <t>No</t>
  </si>
  <si>
    <t>Yes</t>
  </si>
  <si>
    <t>Moses et al. (2021)</t>
  </si>
  <si>
    <t>Attempted (anarthria)</t>
  </si>
  <si>
    <t>First sentence decoding in anarthric patient (ALS-like); 15 WPM; NEJM doi:10.1056/NEJMoa2119271. Different task from 2023–2024 studies.</t>
  </si>
  <si>
    <t>Willett et al. (2023)</t>
  </si>
  <si>
    <t>Attempted</t>
  </si>
  <si>
    <t>50-word vocabulary WER 9% / 62 WPM; 125k-word vocab WER 23% (same system). ALS tetraplegia. Nature doi:10.1038/s41586-023-06377-x</t>
  </si>
  <si>
    <t>Metzger et al. (2023)</t>
  </si>
  <si>
    <t>HD-ECoG</t>
  </si>
  <si>
    <t>Current best WER; 125k-word vocabulary; 32 WPM; 30-min calibration; sustained 8+ months. ALS patient. NEJM doi:10.1056/NEJMoa2314132</t>
  </si>
  <si>
    <t>Year (ECoG)</t>
  </si>
  <si>
    <t>WER% (ECoG)</t>
  </si>
  <si>
    <t>Year (Intracortical)</t>
  </si>
  <si>
    <t>WER% (Intracortical)</t>
  </si>
  <si>
    <t>Year (Constrained ⚠)</t>
  </si>
  <si>
    <t>WER% (Constrained ⚠)</t>
  </si>
  <si>
    <t>Year (HD-ECoG)</t>
  </si>
  <si>
    <t>WER% (HD-ECoG)</t>
  </si>
  <si>
    <t>How to edit:</t>
  </si>
  <si>
    <t>• Change any WER value in column B/D/F/H to update the chart immediately.</t>
  </si>
  <si>
    <t>• Add a new row with Year+WER in columns A:B to add an ECoG data point.</t>
  </si>
  <si>
    <t>• To change marker color: click a data point → Format Data Series → Marker → Fill.</t>
  </si>
  <si>
    <t>• To add data labels: right-click chart → Add Data Labels → Format Data Labels.</t>
  </si>
  <si>
    <t>• For IEEE TNSRE submission: right-click chart → Save as Picture → PNG at 300 DPI.</t>
  </si>
  <si>
    <t>Note: Year 2017 excluded (zero studies). 2026 = studies published through April 2026 (formal search cutoff). Edit any value in rows 5–15 and the chart updates automatically.</t>
  </si>
  <si>
    <t>Group A
Invasive
(ECoG/Intracortical/sEEG)</t>
  </si>
  <si>
    <t>Group B
Non-invasive
EEG</t>
  </si>
  <si>
    <t>Group C
Non-invasive
MEG / fMRI</t>
  </si>
  <si>
    <t>Group D
Hybrid / sEMG
(incl. EEG+fNIRS)</t>
  </si>
  <si>
    <t>Group E
Foundation Models
/ Transfer Learning</t>
  </si>
  <si>
    <t>Annual
Total</t>
  </si>
  <si>
    <t>2015</t>
  </si>
  <si>
    <t>2016</t>
  </si>
  <si>
    <t>Vansteensel 2016 (fully implanted ECoG); Martin 2016 (imagined speech SVM)</t>
  </si>
  <si>
    <t>2018</t>
  </si>
  <si>
    <t>Chartier 2018 (articulatory ECoG); Ramsey 2018 (HD-ECoG); Brumberg 2018 (EEG synthesis)</t>
  </si>
  <si>
    <t>2019</t>
  </si>
  <si>
    <t>Anumanchipalli 2019 (Nature ED); Moses 2019; Angrick 2019; Akbari 2019; Stavisky 2019; Herff 2019; Saha 2019 (EEG)</t>
  </si>
  <si>
    <t>2020</t>
  </si>
  <si>
    <t>Makin 2020 (Nature Neurosci.); Wilson 2020; Degenhart 2020; Dash 2020 (MEG); Singh &amp; Gumaste 2020</t>
  </si>
  <si>
    <t>2021</t>
  </si>
  <si>
    <t>Moses 2021 (NEJM); Angrick 2021 (sEEG); Chaudhary 2021; Kostas BENDR 2021; Lee 2021; Peterson 2021; Zhu 2021 (HD-sEMG)</t>
  </si>
  <si>
    <t>2022</t>
  </si>
  <si>
    <t>Proix 2022; Kohler 2022; Lin 2022; Wang&amp;Ji 2022; Kamble 2022; Agarwal 2022; Caucheteux 2022; Goldstein 2022; Li/Wu/Cooney 2022 (Hybrid)</t>
  </si>
  <si>
    <t>2023</t>
  </si>
  <si>
    <t>Varshney 2023; Duraivel 2023; Duan DeWave 2023; Lee NeuroAI 2023; Abdulghani 2023; Mahapatra 2023; Tang 2023 (fMRI); Défossez 2023; Song 2023 (sEMG); BrainBERT 2023</t>
  </si>
  <si>
    <t>2024</t>
  </si>
  <si>
    <t>Card 2024 (NEJM WER 2.5%); Willett 2023pub; Metzger 2023pub; de Borman 2024; Wandelt 2024; Chen 2024 (n=48); Lee Jo 2024; Craik 2024; Kwon 2024 (MEG); Yin 2024; Zhang 2024; Yuan&amp;Makin 2024</t>
  </si>
  <si>
    <t>2025</t>
  </si>
  <si>
    <t>Martin 2025; Kunz 2025 (Neuron); Wairagkar 2025; Singh 2025 (sEEG n=25); Alonso-Vazquez 2025; Xiong 2025; Qiu MindLLM 2025; Ye 2025; Tang&amp;Huth 2025; d'Ascoli 2025 (n=723)</t>
  </si>
  <si>
    <t>2026</t>
  </si>
  <si>
    <t>Willett 2026 (cross-brain transfer preprint); Zheng 2026 (LLM EEG); Hons 2026 (EEG+fNIRS)</t>
  </si>
  <si>
    <t>TOTAL</t>
  </si>
  <si>
    <t>Column sum check (formula):</t>
  </si>
  <si>
    <t>n=32</t>
  </si>
  <si>
    <t>n=20</t>
  </si>
  <si>
    <t>n=11</t>
  </si>
  <si>
    <t>n=6</t>
  </si>
  <si>
    <t>n=2</t>
  </si>
  <si>
    <t>Edit any value in columns D–G (1=Yes, 0.5=Partial, 0=No) to update the evidence summary. Add new rows to include additional studies. Generalization type column H auto-classifies.</t>
  </si>
  <si>
    <t>Modality Group</t>
  </si>
  <si>
    <t>Cross-participant (CP)</t>
  </si>
  <si>
    <t>Cross-session (CS)</t>
  </si>
  <si>
    <t>Cross-language (CL)</t>
  </si>
  <si>
    <t>Cross-modal (CM)</t>
  </si>
  <si>
    <t>Primary type</t>
  </si>
  <si>
    <t>C  -  MEG/fMRI</t>
  </si>
  <si>
    <t>CP + CL</t>
  </si>
  <si>
    <t>n=723; 7 datasets; 3 languages (EN/FR/NL); largest study</t>
  </si>
  <si>
    <t>B  -  EEG</t>
  </si>
  <si>
    <t>CP</t>
  </si>
  <si>
    <t>n=175; contrastive SSL; 4 public datasets; zero-shot</t>
  </si>
  <si>
    <t>Chen et al. (2024)</t>
  </si>
  <si>
    <t>A  -  ECoG</t>
  </si>
  <si>
    <t>n=48; cross-subject PCC=0.804; largest ECoG cohort</t>
  </si>
  <si>
    <t>Singh et al. (2025)</t>
  </si>
  <si>
    <t>A  -  sEEG</t>
  </si>
  <si>
    <t>n=25; group decoder &gt; individual decoders</t>
  </si>
  <si>
    <t>Wang et al. (2023)  -  BrainBERT</t>
  </si>
  <si>
    <t>E  -  Foundation</t>
  </si>
  <si>
    <t>iEEG SSL foundation model; ICLR 2023</t>
  </si>
  <si>
    <t>Yuan &amp; Makin (2024)</t>
  </si>
  <si>
    <t>ECoG SSL pretraining reduces WER; arXiv 2024</t>
  </si>
  <si>
    <t>Saha et al. (2019)</t>
  </si>
  <si>
    <t>n=10; hierarchical CNN+LSTM; subject-independent imagined speech</t>
  </si>
  <si>
    <t>Agarwal &amp; Kumar (2022)</t>
  </si>
  <si>
    <t>n=13; LSTM subject-independent; 73.56% accuracy; 0.14s RT</t>
  </si>
  <si>
    <t>Mahapatra &amp; Bhuyan (2023)</t>
  </si>
  <si>
    <t>Cross-dataset transfer; 89.01% FEIS; 82.35% KaraOne</t>
  </si>
  <si>
    <t>Caucheteux et al. (2022)</t>
  </si>
  <si>
    <t>Brain-LLM alignment generalizes cross-participant</t>
  </si>
  <si>
    <t>Goldstein et al. (2022)</t>
  </si>
  <si>
    <t>Natural conversation ECoG-LLM; shared neural principles</t>
  </si>
  <si>
    <t>Kostas et al. 2021  -  BENDR</t>
  </si>
  <si>
    <t>SSL pre-training +5–15% downstream accuracy; BENDR EEG</t>
  </si>
  <si>
    <t>Willett et al. (2026)</t>
  </si>
  <si>
    <t>A  -  Intracortical</t>
  </si>
  <si>
    <t>Cross-brain intracortical decoder transfer; [Preprint]</t>
  </si>
  <si>
    <t>CS</t>
  </si>
  <si>
    <t>WER 2.5% sustained 8+ months; 30-min daily calibration; NEJM</t>
  </si>
  <si>
    <t>Degenhart et al. (2020)</t>
  </si>
  <si>
    <t>~95% performance retention via manifold alignment; Nat. Biomed. Eng.</t>
  </si>
  <si>
    <t>Zhu et al. (2021)</t>
  </si>
  <si>
    <t>D  -  HD-sEMG</t>
  </si>
  <si>
    <t>CL</t>
  </si>
  <si>
    <t>English + Chinese digit classification; same electrode config</t>
  </si>
  <si>
    <t>Peterson et al. (2021)</t>
  </si>
  <si>
    <t>B  -  EEG/ECoG</t>
  </si>
  <si>
    <t>CM</t>
  </si>
  <si>
    <t>Cross-modal EEG↔ECoG transfer; generalized CNN decoder</t>
  </si>
  <si>
    <t>Tang &amp; Huth (2025)</t>
  </si>
  <si>
    <t>CP + CM</t>
  </si>
  <si>
    <t>Cross-participant + cross-modal EEG/MEG/fMRI; Curr. Biol.</t>
  </si>
  <si>
    <t>de Borman et al. (2024)</t>
  </si>
  <si>
    <t>n=16; overt→imagined speech mode transfer</t>
  </si>
  <si>
    <t>Martin et al. (2025)</t>
  </si>
  <si>
    <t>Cross-electrode + cross-participant transfer; J. Neural Eng.</t>
  </si>
  <si>
    <t>Alonso-Vazquez et al. (2025)</t>
  </si>
  <si>
    <t>Overt→imagined transfer; multi-condition EEG data</t>
  </si>
  <si>
    <t>NO GENERALIZATION (not shown individually): 40 of 71 studies (56%)  -  evaluated only within single participant, single session. Cross-session evidence: 2 studies only. Cross-language: 2 studies only.</t>
  </si>
  <si>
    <t>Edit any WER value in column C or year in column B to update the chart. Add new rows to extend the dataset. Constrained results (open-circle) are flagged in column F   -  change 'Yes'/'No' as needed.</t>
  </si>
  <si>
    <t>2015 baseline anchor   -  Brain-to-Text pipeline; first continuous ECoG→text; HMM/ASR architecture; Frontiers Neurosci. doi:10.3389/fnins.2015.00217</t>
  </si>
  <si>
    <t xml:space="preserve">  CONSTRAINED CORPUS   -  encoder-decoder seq2seq on limited vocabulary; Nature Neurosci. doi:10.1038/s41593-020-0608-8. Open-circle in figure.</t>
  </si>
  <si>
    <t>78 WPM   -  highest communication rate in review; includes avatar + voice synthesis. Brainstem degeneration patient. Nature doi:10.1038/s41586-023-06443-4</t>
  </si>
  <si>
    <t>n=6 WER data points from 71 included studies. Studies reporting accuracy, PCC, CER, or BLEU (not WER) are excluded from this figure   -  see Fig. 4 (heatmap). Willett 2023 WER 23% (125k vocab) also available in row 4 as an alternative data point   -  add to chart if comparing across vocabulary sizes.</t>
  </si>
  <si>
    <t>SECTION 1   -  ARCHITECTURE ERAS (edit years to shift era boundaries)</t>
  </si>
  <si>
    <t>SECTION 2   -  LANDMARK PAPERS (edit or add rows to change annotations on timeline)</t>
  </si>
  <si>
    <t>WER ~25%   -  Brain-to-Text baseline</t>
  </si>
  <si>
    <t>DeepConvNet   -  first landmark CNN for EEG</t>
  </si>
  <si>
    <t>PCC r=0.69   -  first DNN ECoG speech synthesis</t>
  </si>
  <si>
    <t>Kostas et al. (2021)   -  BENDR</t>
  </si>
  <si>
    <t>Wang et al. (2023)   -  BrainBERT</t>
  </si>
  <si>
    <t>EDITING NOTES: To add a landmark study   -  insert a row and fill in all 7 columns. Ensure year matches the publication year (not preprint year). The Figure annotation column contains exactly the text shown on the PowerPoint timeline label.</t>
  </si>
  <si>
    <t>Herff 2015 (ECoG Brain-to-Text)   -  field-founding study</t>
  </si>
  <si>
    <t>Group A   -  Invasive (ECoG / Intracortical / sEEG)</t>
  </si>
  <si>
    <t>Group B   -  Non-invasive EEG</t>
  </si>
  <si>
    <t>Group C   -  MEG / fMRI (non-invasive)</t>
  </si>
  <si>
    <t>Group D   -  Hybrid / sEMG (incl. EEG+fNIRS)</t>
  </si>
  <si>
    <t>Group E   -  Foundation models / transfer learning</t>
  </si>
  <si>
    <t>Figure 6 - Generalization Evidence Map   21 Studies from 71 Included   2015–2026</t>
  </si>
  <si>
    <t>Figure 2   -  AI Architecture Evolution Timeline   Brain-to-Speech Decoding 2015–2026</t>
  </si>
  <si>
    <t>Figure 3   -  WER Performance Trajectory   Invasive Brain-to-Speech Decoding Systems   2015–2026   AI for Brain-to-Speech Decoding Systematic Review</t>
  </si>
  <si>
    <t>Figure 5   -  Study Distribution Data     71 Included Studies by Year and Modality Group     AI for Brain-to-Speech Decoding Systematic Review (2015–2026)</t>
  </si>
  <si>
    <t>n=71 total     Group A=32, B=20, C=11, D=6, E=2</t>
  </si>
  <si>
    <t>Figure 5   -  Study Distribution Chart     Edit data in 'Figure 5   -  Raw Data' sheet to update chart</t>
  </si>
  <si>
    <t>To export for IEEE TNSRE: Right-click chart → Save as Picture → PNG or TIFF at 300 DPI     Or: Copy chart → Paste Special in Word as Picture</t>
  </si>
  <si>
    <t>Color reference     How to change bar colors: click a bar → Format Data Series → Fill → Solid fill → choose color</t>
  </si>
  <si>
    <t>Modality (n studies)</t>
  </si>
  <si>
    <t>Overt speech</t>
  </si>
  <si>
    <t>Imagined / Covert</t>
  </si>
  <si>
    <t>Attempted / Silent</t>
  </si>
  <si>
    <t>Perceived / Listened</t>
  </si>
  <si>
    <t>ECoG (n=22)</t>
  </si>
  <si>
    <t>STRONG</t>
  </si>
  <si>
    <t>MODERATE</t>
  </si>
  <si>
    <t>Intracortical (n=8)</t>
  </si>
  <si>
    <t>WEAK</t>
  </si>
  <si>
    <t>NOT DEMONSTRATED</t>
  </si>
  <si>
    <t>sEEG (n=4)</t>
  </si>
  <si>
    <t>Scalp EEG (n=20)</t>
  </si>
  <si>
    <t>MEG (n=5)</t>
  </si>
  <si>
    <t>fMRI (n=6)</t>
  </si>
  <si>
    <t>NOT FEASIBLE</t>
  </si>
  <si>
    <t>Hybrid / sEMG (n=6)</t>
  </si>
  <si>
    <t>Multiple included studies; competitive quantitative results for the modality-task combination</t>
  </si>
  <si>
    <t>Some included studies; above-chance results with meaningful limitations</t>
  </si>
  <si>
    <t>Very few studies (1-2); exploratory or modest results only</t>
  </si>
  <si>
    <t>No included study evaluates this modality-task combination</t>
  </si>
  <si>
    <t>Physically precluded by modality constraints (e.g. fMRI BOLD ~5 s lag)</t>
  </si>
  <si>
    <t>Task</t>
  </si>
  <si>
    <t>Tier</t>
  </si>
  <si>
    <t>Key studies (from 71 included)</t>
  </si>
  <si>
    <t>Best metric reported</t>
  </si>
  <si>
    <t>Study count (this cell)</t>
  </si>
  <si>
    <t>Herff 2015; Chartier 2018; Angrick 2019; Makin 2020; Anumanchipalli 2019; Chen 2024; Ramsey 2018; Duraivel 2023</t>
  </si>
  <si>
    <t>PCC 0.804 (Chen 2024, n=48);
WER 25% (Herff 2015)</t>
  </si>
  <si>
    <t>8+</t>
  </si>
  <si>
    <t>Strongest ECoG evidence; broadest metric coverage</t>
  </si>
  <si>
    <t>Imagined/Covert</t>
  </si>
  <si>
    <t>Martin et al. 2016; Proix et al. 2022; de Borman et al. 2024</t>
  </si>
  <si>
    <t>Up to 88% 2-class (Martin 2016;
mean 58%)</t>
  </si>
  <si>
    <t>3</t>
  </si>
  <si>
    <t>Above-chance; weaker than overt; imagined signal noisier</t>
  </si>
  <si>
    <t>Attempted/Silent</t>
  </si>
  <si>
    <t>Moses et al. 2021; Metzger et al. 2023; Vansteensel 2016</t>
  </si>
  <si>
    <t>WER 25–26%; 78 WPM
(Moses 2021; Metzger 2023)</t>
  </si>
  <si>
    <t>All n=1 single-participant clinical; MODERATE not STRONG on evidence volume</t>
  </si>
  <si>
    <t>Perceived</t>
  </si>
  <si>
    <t>Moses et al. 2019; Akbari et al. 2019; Goldstein 2022</t>
  </si>
  <si>
    <t>PCC 0.60–0.74 (Akbari 2019)</t>
  </si>
  <si>
    <t>Includes auditory cortex ECoG; Q&amp;A paradigm</t>
  </si>
  <si>
    <t>Wilson et al. 2020; Stavisky et al. 2019</t>
  </si>
  <si>
    <t>Phoneme classification accuracy
(Wilson 2020, n=2)</t>
  </si>
  <si>
    <t>2</t>
  </si>
  <si>
    <t>Few overt studies; most intracortical work uses attempted speech with non-speaking participants</t>
  </si>
  <si>
    <t>Wandelt et al. 2024; Kunz et al. 2025</t>
  </si>
  <si>
    <t>Above-chance 6 words
(Wandelt 2024, n=2)</t>
  </si>
  <si>
    <t>Exploratory; small n; inner speech in motor cortex</t>
  </si>
  <si>
    <t>Card et al. 2024; Willett et al. 2023; Wairagkar et al. 2025; Chaudhary et al. 2022; Degenhart et al. 2020; Willett et al. 2026</t>
  </si>
  <si>
    <t>WER 2.5%/32 WPM (Card 2024);
WER 9%/62 WPM (Willett 2023)</t>
  </si>
  <si>
    <t>6</t>
  </si>
  <si>
    <t>Best results in entire review; current state of the art for speech neuroprostheses</t>
  </si>
  <si>
    <t>None</t>
  </si>
  <si>
    <t>0</t>
  </si>
  <si>
    <t>Zero included studies evaluate perceived speech decoding with intracortical arrays</t>
  </si>
  <si>
    <t>sEEG</t>
  </si>
  <si>
    <t>Kohler et al. 2022; Singh et al. 2025</t>
  </si>
  <si>
    <t>PCC comparable to ECoG
(Kohler 2022);
Group &gt; individual decoder (Singh 2025, n=25)</t>
  </si>
  <si>
    <t>Two studies; reasonable results</t>
  </si>
  <si>
    <t>Angrick et al. 2021</t>
  </si>
  <si>
    <t>Real-time imagined speech synthesis
(Angrick 2021)</t>
  </si>
  <si>
    <t>1</t>
  </si>
  <si>
    <t>Angrick et al. 2021 (partial)</t>
  </si>
  <si>
    <t>Very limited dedicated attempted-speech sEEG evidence</t>
  </si>
  <si>
    <t>No included sEEG studies with perceived speech as primary outcome</t>
  </si>
  <si>
    <t>Scalp EEG</t>
  </si>
  <si>
    <t>Brumberg et al. 2018; Craik et al. 2024</t>
  </si>
  <si>
    <t>Real-time synthesis (Brumberg 2018);
Continuous/discrete accuracy (Craik 2024 preprint)</t>
  </si>
  <si>
    <t>Very few overt EEG studies; most EEG work focuses on imagined speech</t>
  </si>
  <si>
    <t>Saha 2019; Agarwal 2022; Abdulghani 2023; Kostas 2021 BENDR; Lee 2021; Kamble 2022; Mahapatra 2023; Alonso-Vazquez 2025; Xiong 2025; Zheng 2026</t>
  </si>
  <si>
    <t>70–92.5% closed-set
(Saha 2019; Abdulghani 2023)</t>
  </si>
  <si>
    <t>10+</t>
  </si>
  <si>
    <t>Largest concentration of EEG studies; but all closed-set, limited vocabulary</t>
  </si>
  <si>
    <t>Singh &amp; Gumaste 2020</t>
  </si>
  <si>
    <t>Classification accuracy
(Singh &amp; Gumaste 2020)</t>
  </si>
  <si>
    <t>One study only; technical report format</t>
  </si>
  <si>
    <t>Wang &amp; Ji 2022; Duan 2023 DeWave</t>
  </si>
  <si>
    <t>WER 35–45%
(Wang &amp; Ji 2022; DeWave 2023)</t>
  </si>
  <si>
    <t>Open-vocabulary LM-integrated decoding; WER substantially higher than invasive systems</t>
  </si>
  <si>
    <t>MEG</t>
  </si>
  <si>
    <t>Kwon et al. 2024; Dash 2020 (partial)</t>
  </si>
  <si>
    <t>Mel-PCC ~0.95 (Kwon 2024, n=4)
First intelligible MEG synthesis</t>
  </si>
  <si>
    <t>Limited studies; Kwon 2024 is first intelligible MEG speech synthesis</t>
  </si>
  <si>
    <t>Dash et al. 2020</t>
  </si>
  <si>
    <t>Imagined + overt phrase decoding
(Dash 2020)</t>
  </si>
  <si>
    <t>Very limited dedicated MEG imagined speech evidence in included studies</t>
  </si>
  <si>
    <t>No included MEG studies with attempted speech</t>
  </si>
  <si>
    <t>Défossez et al. 2023; d'Ascoli et al. 2025; Caucheteux et al. 2022</t>
  </si>
  <si>
    <t>Top-1 41% n=175 (Défossez 2023);
n=723 3 languages (d'Ascoli 2025)</t>
  </si>
  <si>
    <t>Multiple large studies; largest participant counts in non-invasive literature</t>
  </si>
  <si>
    <t>BOLD lags ~5 s; cannot track
fluent overt speech dynamics</t>
  </si>
  <si>
    <t>Temporal resolution (~1–2 s TR) physically precludes tracking syllable-level overt speech</t>
  </si>
  <si>
    <t>Tang et al. 2023; Yin et al. 2024</t>
  </si>
  <si>
    <t>Semantic reconstruction includes
imagined component (Tang 2023)</t>
  </si>
  <si>
    <t>Imagined component embedded in broader perceived/imagined paradigm; limited dedicated imagined fMRI</t>
  </si>
  <si>
    <t>Same temporal limitation
as overt</t>
  </si>
  <si>
    <t>Tang et al. 2023; Yin et al. 2024; Zhang et al. 2024; Qiu et al. 2025; Ye et al. 2025; Tang &amp; Huth 2025</t>
  </si>
  <si>
    <t>100% story ID (Tang 2023);
BLEU-1 27.8% (Yin 2024)</t>
  </si>
  <si>
    <t>Strongest non-invasive semantic evidence; multiple LLM-integrated studies</t>
  </si>
  <si>
    <t>Hybrid/sEMG</t>
  </si>
  <si>
    <t>Cooney et al. 2022</t>
  </si>
  <si>
    <t>46.31% overt EEG+fNIRS
(Cooney 2022, n=19; above 25% chance)</t>
  </si>
  <si>
    <t>One study; bimodal above unimodal EEG</t>
  </si>
  <si>
    <t>Cooney et al. 2022; Hons et al. 2026</t>
  </si>
  <si>
    <t>34.29% imagined EEG+fNIRS
(Cooney 2022); phoneme class. (Hons 2026)</t>
  </si>
  <si>
    <t>Two studies; bimodal fusion shows modest benefit</t>
  </si>
  <si>
    <t>Song et al. 2023; Wu et al. 2022; Li et al. 2022; Zhu et al. 2021</t>
  </si>
  <si>
    <t>CER 3.11%; 97.17% phrase
(Song 2023, n=15; HD-sEMG)</t>
  </si>
  <si>
    <t>4</t>
  </si>
  <si>
    <t>Best non-invasive CER in this review; strongest silent speech evidence in literature</t>
  </si>
  <si>
    <t>Hons et al. 2026</t>
  </si>
  <si>
    <t>Perceived phoneme classification
(Hons 2026)</t>
  </si>
  <si>
    <t>One study; very limited perceived evidence for hybrid/sEMG</t>
  </si>
  <si>
    <t>IMPORTANT: These tier assignments are based exclusively on the 71 included studies from this systematic review. Do not upgrade a tier without citing a specific included study to justify the change. All study identifications reference the verified data extraction register (Paper1_Data_Extraction_Register_v2_Corrected.xlsx).</t>
  </si>
  <si>
    <t>Figure 4  -  Modality × Task Performance Heatmap | All 71 Included Studies | 2015–2026</t>
  </si>
  <si>
    <t>Edit tier values (STRONG/MODERATE/WEAK/NOT DEMONSTRATED/NOT FEASIBLE) in columns B–E. Change metric notes in rows 16–22. Tiers must match included study evidence only  -  do not upgrade without adding a study reference.</t>
  </si>
  <si>
    <t>SECTION 1  -  PERFORMANCE TIER MATRIX (edit tiers here)</t>
  </si>
  <si>
    <t>TIER LEGEND  -  use exactly these values in the tier matrix above</t>
  </si>
  <si>
    <t>SECTION 2  -  EVIDENCE REFERENCE PER CELL (source studies for each tier assignment)</t>
  </si>
  <si>
    <t xml:space="preserve"> - </t>
  </si>
  <si>
    <t>One study  -  moderate by evidence volume</t>
  </si>
  <si>
    <t>Limited  -  primarily imagined focus</t>
  </si>
  <si>
    <t>None  -  physically precluded</t>
  </si>
  <si>
    <t>Same reasoning as overt  -  attempted speech dynamics too fast for BOLD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</si>
</sst>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Candara"/>
      <family val="2"/>
    </font>
    <font>
      <sz val="11"/>
      <color theme="1"/>
      <name val="Candara"/>
      <family val="2"/>
    </font>
    <font>
      <i/>
      <sz val="9"/>
      <color rgb="FF595959"/>
      <name val="Candara"/>
      <family val="2"/>
    </font>
    <font>
      <b/>
      <sz val="9"/>
      <color rgb="FFFFFFFF"/>
      <name val="Candara"/>
      <family val="2"/>
    </font>
    <font>
      <b/>
      <sz val="9"/>
      <color rgb="FF1F4E79"/>
      <name val="Candara"/>
      <family val="2"/>
    </font>
    <font>
      <sz val="9"/>
      <color rgb="FF000000"/>
      <name val="Candara"/>
      <family val="2"/>
    </font>
    <font>
      <b/>
      <sz val="9"/>
      <color rgb="FF375623"/>
      <name val="Candara"/>
      <family val="2"/>
    </font>
    <font>
      <sz val="9"/>
      <color rgb="FF595959"/>
      <name val="Candara"/>
      <family val="2"/>
    </font>
    <font>
      <b/>
      <sz val="9"/>
      <color rgb="FF000000"/>
      <name val="Candara"/>
      <family val="2"/>
    </font>
    <font>
      <sz val="9"/>
      <color rgb="FF7F6000"/>
      <name val="Candara"/>
      <family val="2"/>
    </font>
    <font>
      <b/>
      <sz val="10"/>
      <color rgb="FFFFFFFF"/>
      <name val="Candara"/>
      <family val="2"/>
    </font>
    <font>
      <b/>
      <sz val="9"/>
      <name val="Candara"/>
      <family val="2"/>
    </font>
    <font>
      <sz val="9"/>
      <name val="Candara"/>
      <family val="2"/>
    </font>
    <font>
      <i/>
      <sz val="9"/>
      <name val="Candara"/>
      <family val="2"/>
    </font>
    <font>
      <i/>
      <sz val="8"/>
      <color rgb="FF595959"/>
      <name val="Candara"/>
      <family val="2"/>
    </font>
    <font>
      <b/>
      <sz val="9"/>
      <color rgb="FF185FA5"/>
      <name val="Candara"/>
      <family val="2"/>
    </font>
    <font>
      <b/>
      <sz val="9"/>
      <color rgb="FF843C0C"/>
      <name val="Candara"/>
      <family val="2"/>
    </font>
    <font>
      <b/>
      <sz val="9"/>
      <color rgb="FFE65100"/>
      <name val="Candara"/>
      <family val="2"/>
    </font>
    <font>
      <b/>
      <sz val="10"/>
      <color rgb="FF000000"/>
      <name val="Candara"/>
      <family val="2"/>
    </font>
    <font>
      <b/>
      <sz val="10"/>
      <color rgb="FF185FA5"/>
      <name val="Candara"/>
      <family val="2"/>
    </font>
    <font>
      <sz val="10"/>
      <color rgb="FFCCCCCC"/>
      <name val="Candara"/>
      <family val="2"/>
    </font>
    <font>
      <b/>
      <sz val="10"/>
      <color rgb="FF1F4E79"/>
      <name val="Candara"/>
      <family val="2"/>
    </font>
    <font>
      <b/>
      <sz val="10"/>
      <color rgb="FF3B6D11"/>
      <name val="Candara"/>
      <family val="2"/>
    </font>
    <font>
      <b/>
      <sz val="10"/>
      <color rgb="FF993C1D"/>
      <name val="Candara"/>
      <family val="2"/>
    </font>
    <font>
      <b/>
      <sz val="10"/>
      <color rgb="FFBA7517"/>
      <name val="Candara"/>
      <family val="2"/>
    </font>
    <font>
      <b/>
      <sz val="10"/>
      <color rgb="FF534AB7"/>
      <name val="Candara"/>
      <family val="2"/>
    </font>
    <font>
      <sz val="8"/>
      <color rgb="FF595959"/>
      <name val="Candara"/>
      <family val="2"/>
    </font>
    <font>
      <b/>
      <sz val="9"/>
      <color rgb="FF3B6D11"/>
      <name val="Candara"/>
      <family val="2"/>
    </font>
    <font>
      <b/>
      <sz val="9"/>
      <color rgb="FFBA7517"/>
      <name val="Candara"/>
      <family val="2"/>
    </font>
    <font>
      <b/>
      <sz val="9"/>
      <color rgb="FF993C1D"/>
      <name val="Candara"/>
      <family val="2"/>
    </font>
    <font>
      <b/>
      <sz val="9"/>
      <color rgb="FF534AB7"/>
      <name val="Candara"/>
      <family val="2"/>
    </font>
    <font>
      <b/>
      <sz val="9"/>
      <color rgb="FF7F6000"/>
      <name val="Candara"/>
      <family val="2"/>
    </font>
    <font>
      <b/>
      <sz val="9"/>
      <color rgb="FF212121"/>
      <name val="Candara"/>
      <family val="2"/>
    </font>
    <font>
      <b/>
      <sz val="9"/>
      <color rgb="FF616161"/>
      <name val="Candara"/>
      <family val="2"/>
    </font>
    <font>
      <b/>
      <sz val="9"/>
      <color rgb="FFBDBDBD"/>
      <name val="Candara"/>
      <family val="2"/>
    </font>
    <font>
      <sz val="9"/>
      <color rgb="FF1F4E79"/>
      <name val="Candara"/>
      <family val="2"/>
    </font>
    <font>
      <b/>
      <sz val="11"/>
      <color theme="1"/>
      <name val="Candara"/>
      <family val="2"/>
    </font>
    <font>
      <b/>
      <sz val="10"/>
      <color theme="1"/>
      <name val="Candara"/>
      <family val="2"/>
    </font>
    <font>
      <b/>
      <sz val="9"/>
      <color theme="1"/>
      <name val="Candara"/>
      <family val="2"/>
    </font>
  </fonts>
  <fills count="5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CCCCCC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0F4FB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EAD1F5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E8F8F5"/>
        <bgColor rgb="FFF0F4FB"/>
      </patternFill>
    </fill>
    <fill>
      <patternFill patternType="solid">
        <fgColor rgb="FFD5F5E3"/>
        <bgColor rgb="FFE2EFDA"/>
      </patternFill>
    </fill>
    <fill>
      <patternFill patternType="solid">
        <fgColor rgb="FFF0F4FB"/>
        <bgColor rgb="FFE8F8F5"/>
      </patternFill>
    </fill>
    <fill>
      <patternFill patternType="solid">
        <fgColor rgb="FF1F4E79"/>
        <bgColor rgb="FF185FA5"/>
      </patternFill>
    </fill>
    <fill>
      <patternFill patternType="solid">
        <fgColor rgb="FF2E75B6"/>
        <bgColor rgb="FF185FA5"/>
      </patternFill>
    </fill>
    <fill>
      <patternFill patternType="solid">
        <fgColor rgb="FFDEEAF1"/>
        <bgColor rgb="FFF0F4FB"/>
      </patternFill>
    </fill>
    <fill>
      <patternFill patternType="solid">
        <fgColor rgb="FFFFF8E1"/>
        <bgColor rgb="FFFFFFFF"/>
      </patternFill>
    </fill>
    <fill>
      <patternFill patternType="solid">
        <fgColor rgb="FFFCE4D6"/>
        <bgColor rgb="FFFFF8E1"/>
      </patternFill>
    </fill>
    <fill>
      <patternFill patternType="solid">
        <fgColor rgb="FFF0F4FB"/>
        <bgColor rgb="FFFFFFFF"/>
      </patternFill>
    </fill>
    <fill>
      <patternFill patternType="solid">
        <fgColor rgb="FF185FA5"/>
        <bgColor rgb="FF1F4E79"/>
      </patternFill>
    </fill>
    <fill>
      <patternFill patternType="solid">
        <fgColor rgb="FF3B6D11"/>
        <bgColor rgb="FF595959"/>
      </patternFill>
    </fill>
    <fill>
      <patternFill patternType="solid">
        <fgColor rgb="FFBA7517"/>
        <bgColor rgb="FFFF6600"/>
      </patternFill>
    </fill>
    <fill>
      <patternFill patternType="solid">
        <fgColor rgb="FF993C1D"/>
        <bgColor rgb="FF993366"/>
      </patternFill>
    </fill>
    <fill>
      <patternFill patternType="solid">
        <fgColor rgb="FF534AB7"/>
        <bgColor rgb="FF595959"/>
      </patternFill>
    </fill>
    <fill>
      <patternFill patternType="solid">
        <fgColor rgb="FFF5F5F5"/>
        <bgColor rgb="FFF0F4FB"/>
      </patternFill>
    </fill>
    <fill>
      <patternFill patternType="solid">
        <fgColor rgb="FFE6EFF8"/>
        <bgColor rgb="FFEEECFC"/>
      </patternFill>
    </fill>
    <fill>
      <patternFill patternType="solid">
        <fgColor rgb="FFE8F5E0"/>
        <bgColor rgb="FFE6EFF8"/>
      </patternFill>
    </fill>
    <fill>
      <patternFill patternType="solid">
        <fgColor rgb="FFFDF3E3"/>
        <bgColor rgb="FFF5F5F5"/>
      </patternFill>
    </fill>
    <fill>
      <patternFill patternType="solid">
        <fgColor rgb="FFF9E8E3"/>
        <bgColor rgb="FFFDF3E3"/>
      </patternFill>
    </fill>
    <fill>
      <patternFill patternType="solid">
        <fgColor rgb="FFEEECFC"/>
        <bgColor rgb="FFE6EFF8"/>
      </patternFill>
    </fill>
    <fill>
      <patternFill patternType="solid">
        <fgColor rgb="FFDEEAF1"/>
        <bgColor rgb="FFE6EFF8"/>
      </patternFill>
    </fill>
    <fill>
      <patternFill patternType="solid">
        <fgColor rgb="FFF0F4FB"/>
        <bgColor rgb="FFF5F5F5"/>
      </patternFill>
    </fill>
    <fill>
      <patternFill patternType="solid">
        <fgColor rgb="FFFFF8E1"/>
        <bgColor rgb="FFFFF9F0"/>
      </patternFill>
    </fill>
    <fill>
      <patternFill patternType="solid">
        <fgColor rgb="FFFFFFFF"/>
        <bgColor rgb="FFFFF9F0"/>
      </patternFill>
    </fill>
    <fill>
      <patternFill patternType="solid">
        <fgColor rgb="FFB7DDB0"/>
        <bgColor rgb="FFCCCCCC"/>
      </patternFill>
    </fill>
    <fill>
      <patternFill patternType="solid">
        <fgColor rgb="FFF8F8F8"/>
        <bgColor rgb="FFFFF9F0"/>
      </patternFill>
    </fill>
    <fill>
      <patternFill patternType="solid">
        <fgColor rgb="FFFFE08A"/>
        <bgColor rgb="FFFCE4D6"/>
      </patternFill>
    </fill>
    <fill>
      <patternFill patternType="solid">
        <fgColor rgb="FFE8F5E0"/>
        <bgColor rgb="FFDEEAF1"/>
      </patternFill>
    </fill>
    <fill>
      <patternFill patternType="solid">
        <fgColor rgb="FFDEEAF1"/>
        <bgColor rgb="FFE8F5E0"/>
      </patternFill>
    </fill>
    <fill>
      <patternFill patternType="solid">
        <fgColor rgb="FFFFF9F0"/>
        <bgColor rgb="FFF8F8F8"/>
      </patternFill>
    </fill>
    <fill>
      <patternFill patternType="solid">
        <fgColor rgb="FFF4B9A0"/>
        <bgColor rgb="FFCCCCCC"/>
      </patternFill>
    </fill>
    <fill>
      <patternFill patternType="solid">
        <fgColor rgb="FFC0392B"/>
        <bgColor rgb="FF993366"/>
      </patternFill>
    </fill>
    <fill>
      <patternFill patternType="solid">
        <fgColor rgb="FFF0F4FB"/>
        <bgColor rgb="FFFAFAFA"/>
      </patternFill>
    </fill>
    <fill>
      <patternFill patternType="solid">
        <fgColor rgb="FF1B5E20"/>
        <bgColor rgb="FF375623"/>
      </patternFill>
    </fill>
    <fill>
      <patternFill patternType="solid">
        <fgColor rgb="FFF9A825"/>
        <bgColor rgb="FFFFCC00"/>
      </patternFill>
    </fill>
    <fill>
      <patternFill patternType="solid">
        <fgColor rgb="FFBF360C"/>
        <bgColor rgb="FF843C0C"/>
      </patternFill>
    </fill>
    <fill>
      <patternFill patternType="solid">
        <fgColor rgb="FFBDBDBD"/>
        <bgColor rgb="FFCCCCCC"/>
      </patternFill>
    </fill>
    <fill>
      <patternFill patternType="solid">
        <fgColor rgb="FF424242"/>
        <bgColor rgb="FF375623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1F4E79"/>
      </top>
      <bottom style="medium">
        <color rgb="FF1F4E79"/>
      </bottom>
      <diagonal/>
    </border>
  </borders>
  <cellStyleXfs count="2">
    <xf numFmtId="0" fontId="0" fillId="0" borderId="0"/>
    <xf numFmtId="0" fontId="1" fillId="0" borderId="0"/>
  </cellStyleXfs>
  <cellXfs count="131">
    <xf numFmtId="0" fontId="0" fillId="0" borderId="0" xfId="0"/>
    <xf numFmtId="0" fontId="3" fillId="0" borderId="0" xfId="1" applyFont="1"/>
    <xf numFmtId="0" fontId="4" fillId="3" borderId="0" xfId="1" applyFont="1" applyFill="1" applyAlignment="1">
      <alignment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6" fillId="32" borderId="1" xfId="1" applyFont="1" applyFill="1" applyBorder="1" applyAlignment="1">
      <alignment horizontal="left" vertical="top" wrapText="1"/>
    </xf>
    <xf numFmtId="0" fontId="7" fillId="33" borderId="1" xfId="1" applyFont="1" applyFill="1" applyBorder="1" applyAlignment="1">
      <alignment horizontal="center" vertical="top"/>
    </xf>
    <xf numFmtId="0" fontId="7" fillId="32" borderId="1" xfId="1" applyFont="1" applyFill="1" applyBorder="1" applyAlignment="1">
      <alignment horizontal="left" vertical="top" wrapText="1"/>
    </xf>
    <xf numFmtId="0" fontId="8" fillId="34" borderId="1" xfId="1" applyFont="1" applyFill="1" applyBorder="1" applyAlignment="1">
      <alignment horizontal="center" vertical="top"/>
    </xf>
    <xf numFmtId="0" fontId="9" fillId="35" borderId="1" xfId="1" applyFont="1" applyFill="1" applyBorder="1" applyAlignment="1">
      <alignment horizontal="center" vertical="top"/>
    </xf>
    <xf numFmtId="0" fontId="8" fillId="36" borderId="1" xfId="1" applyFont="1" applyFill="1" applyBorder="1" applyAlignment="1">
      <alignment horizontal="center" vertical="top"/>
    </xf>
    <xf numFmtId="0" fontId="10" fillId="33" borderId="1" xfId="1" applyFont="1" applyFill="1" applyBorder="1" applyAlignment="1">
      <alignment horizontal="left" vertical="top" wrapText="1"/>
    </xf>
    <xf numFmtId="0" fontId="7" fillId="33" borderId="1" xfId="1" applyFont="1" applyFill="1" applyBorder="1" applyAlignment="1">
      <alignment horizontal="left" vertical="top" wrapText="1"/>
    </xf>
    <xf numFmtId="0" fontId="6" fillId="37" borderId="1" xfId="1" applyFont="1" applyFill="1" applyBorder="1" applyAlignment="1">
      <alignment horizontal="left" vertical="top" wrapText="1"/>
    </xf>
    <xf numFmtId="0" fontId="7" fillId="37" borderId="1" xfId="1" applyFont="1" applyFill="1" applyBorder="1" applyAlignment="1">
      <alignment horizontal="left" vertical="top" wrapText="1"/>
    </xf>
    <xf numFmtId="0" fontId="6" fillId="38" borderId="1" xfId="1" applyFont="1" applyFill="1" applyBorder="1" applyAlignment="1">
      <alignment horizontal="left" vertical="top" wrapText="1"/>
    </xf>
    <xf numFmtId="0" fontId="7" fillId="38" borderId="1" xfId="1" applyFont="1" applyFill="1" applyBorder="1" applyAlignment="1">
      <alignment horizontal="left" vertical="top" wrapText="1"/>
    </xf>
    <xf numFmtId="0" fontId="6" fillId="8" borderId="1" xfId="1" applyFont="1" applyFill="1" applyBorder="1" applyAlignment="1">
      <alignment horizontal="left" vertical="top" wrapText="1"/>
    </xf>
    <xf numFmtId="0" fontId="7" fillId="8" borderId="1" xfId="1" applyFont="1" applyFill="1" applyBorder="1" applyAlignment="1">
      <alignment horizontal="left" vertical="top" wrapText="1"/>
    </xf>
    <xf numFmtId="0" fontId="6" fillId="17" borderId="1" xfId="1" applyFont="1" applyFill="1" applyBorder="1" applyAlignment="1">
      <alignment horizontal="left" vertical="top" wrapText="1"/>
    </xf>
    <xf numFmtId="0" fontId="7" fillId="17" borderId="1" xfId="1" applyFont="1" applyFill="1" applyBorder="1" applyAlignment="1">
      <alignment horizontal="left" vertical="top" wrapText="1"/>
    </xf>
    <xf numFmtId="0" fontId="11" fillId="39" borderId="1" xfId="1" applyFont="1" applyFill="1" applyBorder="1" applyAlignment="1">
      <alignment horizontal="center" vertical="top"/>
    </xf>
    <xf numFmtId="0" fontId="8" fillId="40" borderId="1" xfId="1" applyFont="1" applyFill="1" applyBorder="1" applyAlignment="1">
      <alignment horizontal="center" vertical="top"/>
    </xf>
    <xf numFmtId="0" fontId="5" fillId="41" borderId="0" xfId="1" applyFont="1" applyFill="1" applyAlignment="1">
      <alignment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13" fillId="4" borderId="1" xfId="1" applyFont="1" applyFill="1" applyBorder="1" applyAlignment="1">
      <alignment horizontal="left" vertical="top" wrapText="1"/>
    </xf>
    <xf numFmtId="0" fontId="14" fillId="5" borderId="1" xfId="1" applyFont="1" applyFill="1" applyBorder="1" applyAlignment="1">
      <alignment horizontal="center" vertical="top" wrapText="1"/>
    </xf>
    <xf numFmtId="0" fontId="14" fillId="4" borderId="1" xfId="1" applyFont="1" applyFill="1" applyBorder="1" applyAlignment="1">
      <alignment horizontal="left" vertical="top" wrapText="1"/>
    </xf>
    <xf numFmtId="0" fontId="14" fillId="5" borderId="1" xfId="1" applyFont="1" applyFill="1" applyBorder="1" applyAlignment="1">
      <alignment horizontal="left" vertical="top" wrapText="1"/>
    </xf>
    <xf numFmtId="0" fontId="13" fillId="6" borderId="1" xfId="1" applyFont="1" applyFill="1" applyBorder="1" applyAlignment="1">
      <alignment horizontal="left" vertical="top" wrapText="1"/>
    </xf>
    <xf numFmtId="0" fontId="14" fillId="6" borderId="1" xfId="1" applyFont="1" applyFill="1" applyBorder="1" applyAlignment="1">
      <alignment horizontal="left" vertical="top" wrapText="1"/>
    </xf>
    <xf numFmtId="0" fontId="13" fillId="7" borderId="1" xfId="1" applyFont="1" applyFill="1" applyBorder="1" applyAlignment="1">
      <alignment horizontal="left" vertical="top" wrapText="1"/>
    </xf>
    <xf numFmtId="0" fontId="14" fillId="7" borderId="1" xfId="1" applyFont="1" applyFill="1" applyBorder="1" applyAlignment="1">
      <alignment horizontal="left" vertical="top" wrapText="1"/>
    </xf>
    <xf numFmtId="0" fontId="13" fillId="8" borderId="1" xfId="1" applyFont="1" applyFill="1" applyBorder="1" applyAlignment="1">
      <alignment horizontal="left" vertical="top" wrapText="1"/>
    </xf>
    <xf numFmtId="0" fontId="14" fillId="8" borderId="1" xfId="1" applyFont="1" applyFill="1" applyBorder="1" applyAlignment="1">
      <alignment horizontal="left" vertical="top" wrapText="1"/>
    </xf>
    <xf numFmtId="0" fontId="13" fillId="9" borderId="1" xfId="1" applyFont="1" applyFill="1" applyBorder="1" applyAlignment="1">
      <alignment horizontal="left" vertical="top" wrapText="1"/>
    </xf>
    <xf numFmtId="0" fontId="14" fillId="9" borderId="1" xfId="1" applyFont="1" applyFill="1" applyBorder="1" applyAlignment="1">
      <alignment horizontal="left" vertical="top" wrapText="1"/>
    </xf>
    <xf numFmtId="0" fontId="13" fillId="10" borderId="1" xfId="1" applyFont="1" applyFill="1" applyBorder="1" applyAlignment="1">
      <alignment horizontal="left" vertical="top" wrapText="1"/>
    </xf>
    <xf numFmtId="0" fontId="14" fillId="10" borderId="1" xfId="1" applyFont="1" applyFill="1" applyBorder="1" applyAlignment="1">
      <alignment horizontal="left" vertical="top" wrapText="1"/>
    </xf>
    <xf numFmtId="0" fontId="13" fillId="5" borderId="1" xfId="1" applyFont="1" applyFill="1" applyBorder="1" applyAlignment="1">
      <alignment horizontal="left" vertical="top" wrapText="1"/>
    </xf>
    <xf numFmtId="0" fontId="15" fillId="5" borderId="1" xfId="1" applyFont="1" applyFill="1" applyBorder="1" applyAlignment="1">
      <alignment horizontal="left" vertical="top" wrapText="1"/>
    </xf>
    <xf numFmtId="0" fontId="13" fillId="11" borderId="1" xfId="1" applyFont="1" applyFill="1" applyBorder="1" applyAlignment="1">
      <alignment horizontal="left" vertical="top" wrapText="1"/>
    </xf>
    <xf numFmtId="0" fontId="14" fillId="11" borderId="1" xfId="1" applyFont="1" applyFill="1" applyBorder="1" applyAlignment="1">
      <alignment horizontal="left" vertical="top" wrapText="1"/>
    </xf>
    <xf numFmtId="0" fontId="16" fillId="12" borderId="0" xfId="1" applyFont="1" applyFill="1" applyAlignment="1">
      <alignment vertical="center" wrapText="1"/>
    </xf>
    <xf numFmtId="0" fontId="5" fillId="14" borderId="2" xfId="1" applyFont="1" applyFill="1" applyBorder="1" applyAlignment="1">
      <alignment horizontal="center" vertical="center" wrapText="1"/>
    </xf>
    <xf numFmtId="0" fontId="7" fillId="15" borderId="1" xfId="1" applyFont="1" applyFill="1" applyBorder="1" applyAlignment="1">
      <alignment horizontal="left" vertical="top"/>
    </xf>
    <xf numFmtId="0" fontId="7" fillId="15" borderId="1" xfId="1" applyFont="1" applyFill="1" applyBorder="1" applyAlignment="1">
      <alignment horizontal="center" vertical="top"/>
    </xf>
    <xf numFmtId="0" fontId="17" fillId="15" borderId="1" xfId="1" applyFont="1" applyFill="1" applyBorder="1" applyAlignment="1">
      <alignment horizontal="center" vertical="top"/>
    </xf>
    <xf numFmtId="0" fontId="7" fillId="15" borderId="1" xfId="1" applyFont="1" applyFill="1" applyBorder="1" applyAlignment="1">
      <alignment horizontal="left" vertical="top" wrapText="1"/>
    </xf>
    <xf numFmtId="0" fontId="7" fillId="16" borderId="1" xfId="1" applyFont="1" applyFill="1" applyBorder="1" applyAlignment="1">
      <alignment horizontal="left" vertical="top"/>
    </xf>
    <xf numFmtId="0" fontId="7" fillId="16" borderId="1" xfId="1" applyFont="1" applyFill="1" applyBorder="1" applyAlignment="1">
      <alignment horizontal="center" vertical="top"/>
    </xf>
    <xf numFmtId="0" fontId="18" fillId="16" borderId="1" xfId="1" applyFont="1" applyFill="1" applyBorder="1" applyAlignment="1">
      <alignment horizontal="center" vertical="top"/>
    </xf>
    <xf numFmtId="0" fontId="7" fillId="16" borderId="1" xfId="1" applyFont="1" applyFill="1" applyBorder="1" applyAlignment="1">
      <alignment horizontal="left" vertical="top" wrapText="1"/>
    </xf>
    <xf numFmtId="0" fontId="7" fillId="17" borderId="1" xfId="1" applyFont="1" applyFill="1" applyBorder="1" applyAlignment="1">
      <alignment horizontal="left" vertical="top"/>
    </xf>
    <xf numFmtId="0" fontId="7" fillId="17" borderId="1" xfId="1" applyFont="1" applyFill="1" applyBorder="1" applyAlignment="1">
      <alignment horizontal="center" vertical="top"/>
    </xf>
    <xf numFmtId="0" fontId="19" fillId="17" borderId="1" xfId="1" applyFont="1" applyFill="1" applyBorder="1" applyAlignment="1">
      <alignment horizontal="center" vertical="top"/>
    </xf>
    <xf numFmtId="0" fontId="16" fillId="18" borderId="0" xfId="1" applyFont="1" applyFill="1" applyAlignment="1">
      <alignment vertical="center" wrapText="1"/>
    </xf>
    <xf numFmtId="0" fontId="6" fillId="0" borderId="0" xfId="1" applyFont="1"/>
    <xf numFmtId="0" fontId="16" fillId="0" borderId="0" xfId="1" applyFont="1"/>
    <xf numFmtId="0" fontId="5" fillId="13" borderId="2" xfId="1" applyFont="1" applyFill="1" applyBorder="1" applyAlignment="1">
      <alignment horizontal="center" vertical="center" wrapText="1"/>
    </xf>
    <xf numFmtId="0" fontId="5" fillId="19" borderId="2" xfId="1" applyFont="1" applyFill="1" applyBorder="1" applyAlignment="1">
      <alignment horizontal="center" vertical="center" wrapText="1"/>
    </xf>
    <xf numFmtId="0" fontId="5" fillId="20" borderId="2" xfId="1" applyFont="1" applyFill="1" applyBorder="1" applyAlignment="1">
      <alignment horizontal="center" vertical="center" wrapText="1"/>
    </xf>
    <xf numFmtId="0" fontId="5" fillId="21" borderId="2" xfId="1" applyFont="1" applyFill="1" applyBorder="1" applyAlignment="1">
      <alignment horizontal="center" vertical="center" wrapText="1"/>
    </xf>
    <xf numFmtId="0" fontId="5" fillId="22" borderId="2" xfId="1" applyFont="1" applyFill="1" applyBorder="1" applyAlignment="1">
      <alignment horizontal="center" vertical="center" wrapText="1"/>
    </xf>
    <xf numFmtId="0" fontId="5" fillId="23" borderId="2" xfId="1" applyFont="1" applyFill="1" applyBorder="1" applyAlignment="1">
      <alignment horizontal="center" vertical="center" wrapText="1"/>
    </xf>
    <xf numFmtId="0" fontId="20" fillId="24" borderId="1" xfId="1" applyFont="1" applyFill="1" applyBorder="1" applyAlignment="1">
      <alignment horizontal="center" vertical="center"/>
    </xf>
    <xf numFmtId="0" fontId="21" fillId="25" borderId="1" xfId="1" applyFont="1" applyFill="1" applyBorder="1" applyAlignment="1">
      <alignment horizontal="center" vertical="center"/>
    </xf>
    <xf numFmtId="0" fontId="22" fillId="26" borderId="1" xfId="1" applyFont="1" applyFill="1" applyBorder="1" applyAlignment="1">
      <alignment horizontal="center" vertical="center"/>
    </xf>
    <xf numFmtId="0" fontId="22" fillId="27" borderId="1" xfId="1" applyFont="1" applyFill="1" applyBorder="1" applyAlignment="1">
      <alignment horizontal="center" vertical="center"/>
    </xf>
    <xf numFmtId="0" fontId="22" fillId="28" borderId="1" xfId="1" applyFont="1" applyFill="1" applyBorder="1" applyAlignment="1">
      <alignment horizontal="center" vertical="center"/>
    </xf>
    <xf numFmtId="0" fontId="22" fillId="29" borderId="1" xfId="1" applyFont="1" applyFill="1" applyBorder="1" applyAlignment="1">
      <alignment horizontal="center" vertical="center"/>
    </xf>
    <xf numFmtId="0" fontId="23" fillId="30" borderId="1" xfId="1" applyFont="1" applyFill="1" applyBorder="1" applyAlignment="1">
      <alignment horizontal="center" vertical="center"/>
    </xf>
    <xf numFmtId="0" fontId="16" fillId="24" borderId="1" xfId="1" applyFont="1" applyFill="1" applyBorder="1" applyAlignment="1">
      <alignment horizontal="left" vertical="center" wrapText="1"/>
    </xf>
    <xf numFmtId="0" fontId="20" fillId="31" borderId="1" xfId="1" applyFont="1" applyFill="1" applyBorder="1" applyAlignment="1">
      <alignment horizontal="center" vertical="center"/>
    </xf>
    <xf numFmtId="0" fontId="16" fillId="31" borderId="1" xfId="1" applyFont="1" applyFill="1" applyBorder="1" applyAlignment="1">
      <alignment horizontal="left" vertical="center" wrapText="1"/>
    </xf>
    <xf numFmtId="0" fontId="24" fillId="26" borderId="1" xfId="1" applyFont="1" applyFill="1" applyBorder="1" applyAlignment="1">
      <alignment horizontal="center" vertical="center"/>
    </xf>
    <xf numFmtId="0" fontId="25" fillId="28" borderId="1" xfId="1" applyFont="1" applyFill="1" applyBorder="1" applyAlignment="1">
      <alignment horizontal="center" vertical="center"/>
    </xf>
    <xf numFmtId="0" fontId="26" fillId="27" borderId="1" xfId="1" applyFont="1" applyFill="1" applyBorder="1" applyAlignment="1">
      <alignment horizontal="center" vertical="center"/>
    </xf>
    <xf numFmtId="0" fontId="27" fillId="29" borderId="1" xfId="1" applyFont="1" applyFill="1" applyBorder="1" applyAlignment="1">
      <alignment horizontal="center" vertical="center"/>
    </xf>
    <xf numFmtId="0" fontId="12" fillId="13" borderId="1" xfId="1" applyFont="1" applyFill="1" applyBorder="1" applyAlignment="1">
      <alignment horizontal="center" vertical="center"/>
    </xf>
    <xf numFmtId="0" fontId="2" fillId="19" borderId="2" xfId="1" applyFont="1" applyFill="1" applyBorder="1" applyAlignment="1">
      <alignment horizontal="center" vertical="center"/>
    </xf>
    <xf numFmtId="0" fontId="2" fillId="20" borderId="2" xfId="1" applyFont="1" applyFill="1" applyBorder="1" applyAlignment="1">
      <alignment horizontal="center" vertical="center"/>
    </xf>
    <xf numFmtId="0" fontId="2" fillId="21" borderId="2" xfId="1" applyFont="1" applyFill="1" applyBorder="1" applyAlignment="1">
      <alignment horizontal="center" vertical="center"/>
    </xf>
    <xf numFmtId="0" fontId="2" fillId="22" borderId="2" xfId="1" applyFont="1" applyFill="1" applyBorder="1" applyAlignment="1">
      <alignment horizontal="center" vertical="center"/>
    </xf>
    <xf numFmtId="0" fontId="2" fillId="23" borderId="2" xfId="1" applyFont="1" applyFill="1" applyBorder="1" applyAlignment="1">
      <alignment horizontal="center" vertical="center"/>
    </xf>
    <xf numFmtId="0" fontId="2" fillId="13" borderId="2" xfId="1" applyFont="1" applyFill="1" applyBorder="1" applyAlignment="1">
      <alignment horizontal="center" vertical="center"/>
    </xf>
    <xf numFmtId="0" fontId="5" fillId="13" borderId="1" xfId="1" applyFont="1" applyFill="1" applyBorder="1" applyAlignment="1">
      <alignment horizontal="left" vertical="center"/>
    </xf>
    <xf numFmtId="0" fontId="16" fillId="0" borderId="0" xfId="1" applyFont="1"/>
    <xf numFmtId="0" fontId="28" fillId="0" borderId="0" xfId="1" applyFont="1" applyAlignment="1">
      <alignment horizontal="center"/>
    </xf>
    <xf numFmtId="0" fontId="16" fillId="3" borderId="0" xfId="1" applyFont="1" applyFill="1" applyAlignment="1">
      <alignment vertical="center" wrapText="1"/>
    </xf>
    <xf numFmtId="0" fontId="3" fillId="19" borderId="0" xfId="1" applyFont="1" applyFill="1"/>
    <xf numFmtId="0" fontId="7" fillId="0" borderId="0" xfId="1" applyFont="1"/>
    <xf numFmtId="0" fontId="17" fillId="0" borderId="0" xfId="1" applyFont="1"/>
    <xf numFmtId="0" fontId="3" fillId="20" borderId="0" xfId="1" applyFont="1" applyFill="1"/>
    <xf numFmtId="0" fontId="29" fillId="0" borderId="0" xfId="1" applyFont="1"/>
    <xf numFmtId="0" fontId="3" fillId="21" borderId="0" xfId="1" applyFont="1" applyFill="1"/>
    <xf numFmtId="0" fontId="30" fillId="0" borderId="0" xfId="1" applyFont="1"/>
    <xf numFmtId="0" fontId="3" fillId="22" borderId="0" xfId="1" applyFont="1" applyFill="1"/>
    <xf numFmtId="0" fontId="31" fillId="0" borderId="0" xfId="1" applyFont="1"/>
    <xf numFmtId="0" fontId="3" fillId="23" borderId="0" xfId="1" applyFont="1" applyFill="1"/>
    <xf numFmtId="0" fontId="32" fillId="0" borderId="0" xfId="1" applyFont="1"/>
    <xf numFmtId="0" fontId="17" fillId="6" borderId="2" xfId="1" applyFont="1" applyFill="1" applyBorder="1" applyAlignment="1">
      <alignment horizontal="center" vertical="center" wrapText="1"/>
    </xf>
    <xf numFmtId="0" fontId="8" fillId="7" borderId="2" xfId="1" applyFont="1" applyFill="1" applyBorder="1" applyAlignment="1">
      <alignment horizontal="center" vertical="center" wrapText="1"/>
    </xf>
    <xf numFmtId="0" fontId="33" fillId="4" borderId="2" xfId="1" applyFont="1" applyFill="1" applyBorder="1" applyAlignment="1">
      <alignment horizontal="center" vertical="center" wrapText="1"/>
    </xf>
    <xf numFmtId="0" fontId="18" fillId="9" borderId="2" xfId="1" applyFont="1" applyFill="1" applyBorder="1" applyAlignment="1">
      <alignment horizontal="center" vertical="center" wrapText="1"/>
    </xf>
    <xf numFmtId="0" fontId="6" fillId="42" borderId="1" xfId="1" applyFont="1" applyFill="1" applyBorder="1" applyAlignment="1">
      <alignment vertical="center" wrapText="1"/>
    </xf>
    <xf numFmtId="0" fontId="5" fillId="43" borderId="1" xfId="1" applyFont="1" applyFill="1" applyBorder="1" applyAlignment="1">
      <alignment horizontal="center" vertical="center"/>
    </xf>
    <xf numFmtId="0" fontId="34" fillId="44" borderId="1" xfId="1" applyFont="1" applyFill="1" applyBorder="1" applyAlignment="1">
      <alignment horizontal="center" vertical="center"/>
    </xf>
    <xf numFmtId="0" fontId="5" fillId="45" borderId="1" xfId="1" applyFont="1" applyFill="1" applyBorder="1" applyAlignment="1">
      <alignment horizontal="center" vertical="center"/>
    </xf>
    <xf numFmtId="0" fontId="35" fillId="46" borderId="1" xfId="1" applyFont="1" applyFill="1" applyBorder="1" applyAlignment="1">
      <alignment horizontal="center" vertical="center"/>
    </xf>
    <xf numFmtId="0" fontId="36" fillId="47" borderId="1" xfId="1" applyFont="1" applyFill="1" applyBorder="1" applyAlignment="1">
      <alignment horizontal="center" vertical="center"/>
    </xf>
    <xf numFmtId="0" fontId="12" fillId="13" borderId="0" xfId="1" applyFont="1" applyFill="1" applyAlignment="1">
      <alignment horizontal="center" vertical="center"/>
    </xf>
    <xf numFmtId="0" fontId="7" fillId="48" borderId="1" xfId="1" applyFont="1" applyFill="1" applyBorder="1" applyAlignment="1">
      <alignment vertical="center" wrapText="1"/>
    </xf>
    <xf numFmtId="0" fontId="5" fillId="13" borderId="1" xfId="1" applyFont="1" applyFill="1" applyBorder="1" applyAlignment="1">
      <alignment horizontal="center" vertical="center" wrapText="1"/>
    </xf>
    <xf numFmtId="0" fontId="6" fillId="48" borderId="1" xfId="1" applyFont="1" applyFill="1" applyBorder="1" applyAlignment="1">
      <alignment horizontal="left" vertical="top" wrapText="1"/>
    </xf>
    <xf numFmtId="0" fontId="37" fillId="48" borderId="1" xfId="1" applyFont="1" applyFill="1" applyBorder="1" applyAlignment="1">
      <alignment horizontal="left" vertical="top" wrapText="1"/>
    </xf>
    <xf numFmtId="0" fontId="5" fillId="43" borderId="1" xfId="1" applyFont="1" applyFill="1" applyBorder="1" applyAlignment="1">
      <alignment horizontal="center" vertical="top" wrapText="1"/>
    </xf>
    <xf numFmtId="0" fontId="7" fillId="48" borderId="1" xfId="1" applyFont="1" applyFill="1" applyBorder="1" applyAlignment="1">
      <alignment horizontal="left" vertical="top" wrapText="1"/>
    </xf>
    <xf numFmtId="0" fontId="7" fillId="48" borderId="1" xfId="1" applyFont="1" applyFill="1" applyBorder="1" applyAlignment="1">
      <alignment horizontal="center" vertical="top" wrapText="1"/>
    </xf>
    <xf numFmtId="0" fontId="6" fillId="49" borderId="1" xfId="1" applyFont="1" applyFill="1" applyBorder="1" applyAlignment="1">
      <alignment horizontal="left" vertical="top" wrapText="1"/>
    </xf>
    <xf numFmtId="0" fontId="37" fillId="49" borderId="1" xfId="1" applyFont="1" applyFill="1" applyBorder="1" applyAlignment="1">
      <alignment horizontal="left" vertical="top" wrapText="1"/>
    </xf>
    <xf numFmtId="0" fontId="34" fillId="44" borderId="1" xfId="1" applyFont="1" applyFill="1" applyBorder="1" applyAlignment="1">
      <alignment horizontal="center" vertical="top" wrapText="1"/>
    </xf>
    <xf numFmtId="0" fontId="7" fillId="49" borderId="1" xfId="1" applyFont="1" applyFill="1" applyBorder="1" applyAlignment="1">
      <alignment horizontal="left" vertical="top" wrapText="1"/>
    </xf>
    <xf numFmtId="0" fontId="7" fillId="49" borderId="1" xfId="1" applyFont="1" applyFill="1" applyBorder="1" applyAlignment="1">
      <alignment horizontal="center" vertical="top" wrapText="1"/>
    </xf>
    <xf numFmtId="0" fontId="5" fillId="45" borderId="1" xfId="1" applyFont="1" applyFill="1" applyBorder="1" applyAlignment="1">
      <alignment horizontal="center" vertical="top" wrapText="1"/>
    </xf>
    <xf numFmtId="0" fontId="35" fillId="46" borderId="1" xfId="1" applyFont="1" applyFill="1" applyBorder="1" applyAlignment="1">
      <alignment horizontal="center" vertical="top" wrapText="1"/>
    </xf>
    <xf numFmtId="0" fontId="36" fillId="47" borderId="1" xfId="1" applyFont="1" applyFill="1" applyBorder="1" applyAlignment="1">
      <alignment horizontal="center" vertical="top" wrapText="1"/>
    </xf>
    <xf numFmtId="0" fontId="38" fillId="0" borderId="0" xfId="1" applyFont="1" applyFill="1" applyAlignment="1">
      <alignment horizontal="center" vertical="center" wrapText="1"/>
    </xf>
    <xf numFmtId="0" fontId="39" fillId="0" borderId="0" xfId="1" applyFont="1" applyFill="1" applyAlignment="1">
      <alignment horizontal="center" vertical="center" wrapText="1"/>
    </xf>
    <xf numFmtId="0" fontId="3" fillId="0" borderId="0" xfId="1" applyFont="1" applyFill="1"/>
    <xf numFmtId="0" fontId="40" fillId="0" borderId="0" xfId="1" applyFont="1" applyFill="1" applyAlignment="1">
      <alignment horizontal="center"/>
    </xf>
    <xf numFmtId="0" fontId="39" fillId="0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0603395-A45D-0D4E-93CA-B6ECF530DD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WER Performance Trajectory for Invasive Systems (2015–2026)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'Figure 3 — Chart Data'!$B$1</c:f>
              <c:strCache>
                <c:ptCount val="1"/>
                <c:pt idx="0">
                  <c:v>WER% (ECoG)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10"/>
            <c:spPr>
              <a:solidFill>
                <a:srgbClr val="185F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3 — Chart Data'!$A$2:$A$5</c:f>
              <c:numCache>
                <c:formatCode>General</c:formatCode>
                <c:ptCount val="4"/>
                <c:pt idx="0">
                  <c:v>2015</c:v>
                </c:pt>
                <c:pt idx="1">
                  <c:v>2021</c:v>
                </c:pt>
              </c:numCache>
            </c:numRef>
          </c:xVal>
          <c:yVal>
            <c:numRef>
              <c:f>'Figure 3 — Chart Data'!$B$2:$B$5</c:f>
              <c:numCache>
                <c:formatCode>General</c:formatCode>
                <c:ptCount val="4"/>
                <c:pt idx="0">
                  <c:v>25</c:v>
                </c:pt>
                <c:pt idx="1">
                  <c:v>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DF-A547-AB8E-591C6D3D3811}"/>
            </c:ext>
          </c:extLst>
        </c:ser>
        <c:ser>
          <c:idx val="1"/>
          <c:order val="1"/>
          <c:tx>
            <c:strRef>
              <c:f>'Figure 3 — Chart Data'!$D$1</c:f>
              <c:strCache>
                <c:ptCount val="1"/>
                <c:pt idx="0">
                  <c:v>WER% (Intracortical)</c:v>
                </c:pt>
              </c:strCache>
            </c:strRef>
          </c:tx>
          <c:spPr>
            <a:ln w="47520">
              <a:noFill/>
            </a:ln>
          </c:spPr>
          <c:marker>
            <c:symbol val="diamond"/>
            <c:size val="10"/>
            <c:spPr>
              <a:solidFill>
                <a:srgbClr val="E651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3 — Chart Data'!$C$2:$C$5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</c:numCache>
            </c:numRef>
          </c:xVal>
          <c:yVal>
            <c:numRef>
              <c:f>'Figure 3 — Chart Data'!$D$2:$D$5</c:f>
              <c:numCache>
                <c:formatCode>General</c:formatCode>
                <c:ptCount val="4"/>
                <c:pt idx="0">
                  <c:v>9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DF-A547-AB8E-591C6D3D3811}"/>
            </c:ext>
          </c:extLst>
        </c:ser>
        <c:ser>
          <c:idx val="2"/>
          <c:order val="2"/>
          <c:tx>
            <c:strRef>
              <c:f>'Figure 3 — Chart Data'!$F$1</c:f>
              <c:strCache>
                <c:ptCount val="1"/>
                <c:pt idx="0">
                  <c:v>WER% (Constrained ⚠)</c:v>
                </c:pt>
              </c:strCache>
            </c:strRef>
          </c:tx>
          <c:spPr>
            <a:ln w="47520">
              <a:noFill/>
            </a:ln>
          </c:spPr>
          <c:marker>
            <c:symbol val="triangle"/>
            <c:size val="10"/>
            <c:spPr>
              <a:solidFill>
                <a:srgbClr val="BA751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3 — Chart Data'!$E$2:$E$5</c:f>
              <c:numCache>
                <c:formatCode>General</c:formatCode>
                <c:ptCount val="4"/>
                <c:pt idx="0">
                  <c:v>2020</c:v>
                </c:pt>
              </c:numCache>
            </c:numRef>
          </c:xVal>
          <c:yVal>
            <c:numRef>
              <c:f>'Figure 3 — Chart Data'!$F$2:$F$5</c:f>
              <c:numCache>
                <c:formatCode>General</c:formatCode>
                <c:ptCount val="4"/>
                <c:pt idx="0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DF-A547-AB8E-591C6D3D3811}"/>
            </c:ext>
          </c:extLst>
        </c:ser>
        <c:ser>
          <c:idx val="3"/>
          <c:order val="3"/>
          <c:tx>
            <c:strRef>
              <c:f>'Figure 3 — Chart Data'!$H$1</c:f>
              <c:strCache>
                <c:ptCount val="1"/>
                <c:pt idx="0">
                  <c:v>WER% (HD-ECoG)</c:v>
                </c:pt>
              </c:strCache>
            </c:strRef>
          </c:tx>
          <c:spPr>
            <a:ln w="47520">
              <a:noFill/>
            </a:ln>
          </c:spPr>
          <c:marker>
            <c:symbol val="square"/>
            <c:size val="10"/>
            <c:spPr>
              <a:solidFill>
                <a:srgbClr val="2196F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'Figure 3 — Chart Data'!$G$2:$G$5</c:f>
              <c:numCache>
                <c:formatCode>General</c:formatCode>
                <c:ptCount val="4"/>
                <c:pt idx="0">
                  <c:v>2023</c:v>
                </c:pt>
              </c:numCache>
            </c:numRef>
          </c:xVal>
          <c:yVal>
            <c:numRef>
              <c:f>'Figure 3 — Chart Data'!$H$2:$H$5</c:f>
              <c:numCache>
                <c:formatCode>General</c:formatCode>
                <c:ptCount val="4"/>
                <c:pt idx="0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2DF-A547-AB8E-591C6D3D3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934971"/>
        <c:axId val="63244711"/>
      </c:scatterChart>
      <c:valAx>
        <c:axId val="75934971"/>
        <c:scaling>
          <c:orientation val="minMax"/>
          <c:max val="2025"/>
          <c:min val="2014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Publication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244711"/>
        <c:crosses val="autoZero"/>
        <c:crossBetween val="midCat"/>
      </c:valAx>
      <c:valAx>
        <c:axId val="63244711"/>
        <c:scaling>
          <c:orientation val="minMax"/>
          <c:max val="32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Word Error Rate — WER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93497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5 — Raw Data'!$B$4</c:f>
              <c:strCache>
                <c:ptCount val="1"/>
                <c:pt idx="0">
                  <c:v>Group A
Invasive
(ECoG/Intracortical/sEEG)</c:v>
                </c:pt>
              </c:strCache>
            </c:strRef>
          </c:tx>
          <c:spPr>
            <a:solidFill>
              <a:srgbClr val="185FA5"/>
            </a:solidFill>
            <a:ln w="792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5 — Raw Data'!$A$5:$A$15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'Figure 5 — Raw Data'!$B$5:$B$15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6</c:v>
                </c:pt>
                <c:pt idx="9">
                  <c:v>4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3-2C48-987E-7B4C40DE4BF5}"/>
            </c:ext>
          </c:extLst>
        </c:ser>
        <c:ser>
          <c:idx val="1"/>
          <c:order val="1"/>
          <c:tx>
            <c:strRef>
              <c:f>'Figure 5 — Raw Data'!$C$4</c:f>
              <c:strCache>
                <c:ptCount val="1"/>
                <c:pt idx="0">
                  <c:v>Group B
Non-invasive
EEG</c:v>
                </c:pt>
              </c:strCache>
            </c:strRef>
          </c:tx>
          <c:spPr>
            <a:solidFill>
              <a:srgbClr val="3B6D11"/>
            </a:solidFill>
            <a:ln w="792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5 — Raw Data'!$A$5:$A$15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'Figure 5 — Raw Data'!$C$5:$C$15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43-2C48-987E-7B4C40DE4BF5}"/>
            </c:ext>
          </c:extLst>
        </c:ser>
        <c:ser>
          <c:idx val="2"/>
          <c:order val="2"/>
          <c:tx>
            <c:strRef>
              <c:f>'Figure 5 — Raw Data'!$D$4</c:f>
              <c:strCache>
                <c:ptCount val="1"/>
                <c:pt idx="0">
                  <c:v>Group C
Non-invasive
MEG / fMRI</c:v>
                </c:pt>
              </c:strCache>
            </c:strRef>
          </c:tx>
          <c:spPr>
            <a:solidFill>
              <a:srgbClr val="BA7517"/>
            </a:solidFill>
            <a:ln w="792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5 — Raw Data'!$A$5:$A$15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'Figure 5 — Raw Data'!$D$5:$D$15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43-2C48-987E-7B4C40DE4BF5}"/>
            </c:ext>
          </c:extLst>
        </c:ser>
        <c:ser>
          <c:idx val="3"/>
          <c:order val="3"/>
          <c:tx>
            <c:strRef>
              <c:f>'Figure 5 — Raw Data'!$E$4</c:f>
              <c:strCache>
                <c:ptCount val="1"/>
                <c:pt idx="0">
                  <c:v>Group D
Hybrid / sEMG
(incl. EEG+fNIRS)</c:v>
                </c:pt>
              </c:strCache>
            </c:strRef>
          </c:tx>
          <c:spPr>
            <a:solidFill>
              <a:srgbClr val="993C1D"/>
            </a:solidFill>
            <a:ln w="792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5 — Raw Data'!$A$5:$A$15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'Figure 5 — Raw Data'!$E$5:$E$15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43-2C48-987E-7B4C40DE4BF5}"/>
            </c:ext>
          </c:extLst>
        </c:ser>
        <c:ser>
          <c:idx val="4"/>
          <c:order val="4"/>
          <c:tx>
            <c:strRef>
              <c:f>'Figure 5 — Raw Data'!$F$4</c:f>
              <c:strCache>
                <c:ptCount val="1"/>
                <c:pt idx="0">
                  <c:v>Group E
Foundation Models
/ Transfer Learning</c:v>
                </c:pt>
              </c:strCache>
            </c:strRef>
          </c:tx>
          <c:spPr>
            <a:solidFill>
              <a:srgbClr val="534AB7"/>
            </a:solidFill>
            <a:ln w="792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'Figure 5 — Raw Data'!$A$5:$A$15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strCache>
            </c:strRef>
          </c:cat>
          <c:val>
            <c:numRef>
              <c:f>'Figure 5 — Raw Data'!$F$5:$F$15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43-2C48-987E-7B4C40DE4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471821"/>
        <c:axId val="72561998"/>
      </c:barChart>
      <c:catAx>
        <c:axId val="264718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en-US"/>
                  <a:t>Publication year (2017 excluded - zero studies)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72561998"/>
        <c:crosses val="autoZero"/>
        <c:auto val="1"/>
        <c:lblAlgn val="ctr"/>
        <c:lblOffset val="100"/>
        <c:noMultiLvlLbl val="0"/>
      </c:catAx>
      <c:valAx>
        <c:axId val="72561998"/>
        <c:scaling>
          <c:orientation val="minMax"/>
          <c:max val="14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/>
                </a:pPr>
                <a:r>
                  <a:rPr lang="en-US"/>
                  <a:t>Number of included studies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crossAx val="26471821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6.7405421927535208E-2"/>
          <c:y val="0.87820665692232736"/>
          <c:w val="0.91893806870282846"/>
          <c:h val="0.10551003923378721"/>
        </c:manualLayout>
      </c:layout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3</xdr:row>
      <xdr:rowOff>12700</xdr:rowOff>
    </xdr:from>
    <xdr:to>
      <xdr:col>13</xdr:col>
      <xdr:colOff>35300</xdr:colOff>
      <xdr:row>29</xdr:row>
      <xdr:rowOff>99460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08EBC7-76E3-E649-BAFB-B85951CF3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533400</xdr:colOff>
      <xdr:row>8</xdr:row>
      <xdr:rowOff>63500</xdr:rowOff>
    </xdr:from>
    <xdr:to>
      <xdr:col>23</xdr:col>
      <xdr:colOff>454400</xdr:colOff>
      <xdr:row>32</xdr:row>
      <xdr:rowOff>171140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EF4DC8-9D44-3C49-A3B8-C3F6FCCA0D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lessadeik/Documents/PhD%20Stuff/My%20PhD%20Research/My%20Papers/Paper%201_%20Systematic%20Review/Split%20SLR/Paper%201_/Additional%20docs/Sections%20fig%20tables%20used/Figures/Figure3_WER_Trajectory_Editable.xlsx" TargetMode="External"/><Relationship Id="rId1" Type="http://schemas.openxmlformats.org/officeDocument/2006/relationships/externalLinkPath" Target="Figure3_WER_Trajectory_Editabl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lessadeik/Documents/PhD%20Stuff/My%20PhD%20Research/My%20Papers/Paper%201_%20Systematic%20Review/Split%20SLR/Paper%201_/Additional%20docs/Sections%20fig%20tables%20used/Figures/Figure5_Study_Distribution_Editable.xlsx" TargetMode="External"/><Relationship Id="rId1" Type="http://schemas.openxmlformats.org/officeDocument/2006/relationships/externalLinkPath" Target="Figure5_Study_Distribution_Edit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gure 3 — Raw Data"/>
      <sheetName val="Figure 3 — Chart Data"/>
    </sheetNames>
    <sheetDataSet>
      <sheetData sheetId="0" refreshError="1"/>
      <sheetData sheetId="1">
        <row r="1">
          <cell r="B1" t="str">
            <v>WER% (ECoG)</v>
          </cell>
          <cell r="D1" t="str">
            <v>WER% (Intracortical)</v>
          </cell>
          <cell r="F1" t="str">
            <v>WER% (Constrained ⚠)</v>
          </cell>
          <cell r="H1" t="str">
            <v>WER% (HD-ECoG)</v>
          </cell>
        </row>
        <row r="2">
          <cell r="A2">
            <v>2015</v>
          </cell>
          <cell r="B2">
            <v>25</v>
          </cell>
          <cell r="C2">
            <v>2023</v>
          </cell>
          <cell r="D2">
            <v>9</v>
          </cell>
          <cell r="E2">
            <v>2020</v>
          </cell>
          <cell r="F2">
            <v>3</v>
          </cell>
          <cell r="G2">
            <v>2023</v>
          </cell>
          <cell r="H2">
            <v>25</v>
          </cell>
        </row>
        <row r="3">
          <cell r="A3">
            <v>2021</v>
          </cell>
          <cell r="B3">
            <v>26</v>
          </cell>
          <cell r="C3">
            <v>2024</v>
          </cell>
          <cell r="D3">
            <v>2.5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gure 5 — Raw Data"/>
      <sheetName val="Figure 5 — Chart"/>
    </sheetNames>
    <sheetDataSet>
      <sheetData sheetId="0">
        <row r="4">
          <cell r="B4" t="str">
            <v>Group A
Invasive
(ECoG/Intracortical/sEEG)</v>
          </cell>
          <cell r="C4" t="str">
            <v>Group B
Non-invasive
EEG</v>
          </cell>
          <cell r="D4" t="str">
            <v>Group C
Non-invasive
MEG / fMRI</v>
          </cell>
          <cell r="E4" t="str">
            <v>Group D
Hybrid / sEMG
(incl. EEG+fNIRS)</v>
          </cell>
          <cell r="F4" t="str">
            <v>Group E
Foundation Models
/ Transfer Learning</v>
          </cell>
        </row>
        <row r="5">
          <cell r="A5" t="str">
            <v>2015</v>
          </cell>
          <cell r="B5">
            <v>1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A6" t="str">
            <v>2016</v>
          </cell>
          <cell r="B6">
            <v>2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A7" t="str">
            <v>2018</v>
          </cell>
          <cell r="B7">
            <v>2</v>
          </cell>
          <cell r="C7">
            <v>1</v>
          </cell>
          <cell r="D7">
            <v>0</v>
          </cell>
          <cell r="E7">
            <v>0</v>
          </cell>
          <cell r="F7">
            <v>0</v>
          </cell>
        </row>
        <row r="8">
          <cell r="A8" t="str">
            <v>2019</v>
          </cell>
          <cell r="B8">
            <v>6</v>
          </cell>
          <cell r="C8">
            <v>1</v>
          </cell>
          <cell r="D8">
            <v>0</v>
          </cell>
          <cell r="E8">
            <v>0</v>
          </cell>
          <cell r="F8">
            <v>0</v>
          </cell>
        </row>
        <row r="9">
          <cell r="A9" t="str">
            <v>2020</v>
          </cell>
          <cell r="B9">
            <v>3</v>
          </cell>
          <cell r="C9">
            <v>2</v>
          </cell>
          <cell r="D9">
            <v>0</v>
          </cell>
          <cell r="E9">
            <v>0</v>
          </cell>
          <cell r="F9">
            <v>0</v>
          </cell>
        </row>
        <row r="10">
          <cell r="A10" t="str">
            <v>2021</v>
          </cell>
          <cell r="B10">
            <v>3</v>
          </cell>
          <cell r="C10">
            <v>3</v>
          </cell>
          <cell r="D10">
            <v>0</v>
          </cell>
          <cell r="E10">
            <v>1</v>
          </cell>
          <cell r="F10">
            <v>0</v>
          </cell>
        </row>
        <row r="11">
          <cell r="A11" t="str">
            <v>2022</v>
          </cell>
          <cell r="B11">
            <v>2</v>
          </cell>
          <cell r="C11">
            <v>4</v>
          </cell>
          <cell r="D11">
            <v>2</v>
          </cell>
          <cell r="E11">
            <v>3</v>
          </cell>
          <cell r="F11">
            <v>0</v>
          </cell>
        </row>
        <row r="12">
          <cell r="A12" t="str">
            <v>2023</v>
          </cell>
          <cell r="B12">
            <v>2</v>
          </cell>
          <cell r="C12">
            <v>4</v>
          </cell>
          <cell r="D12">
            <v>2</v>
          </cell>
          <cell r="E12">
            <v>1</v>
          </cell>
          <cell r="F12">
            <v>1</v>
          </cell>
        </row>
        <row r="13">
          <cell r="A13" t="str">
            <v>2024</v>
          </cell>
          <cell r="B13">
            <v>6</v>
          </cell>
          <cell r="C13">
            <v>2</v>
          </cell>
          <cell r="D13">
            <v>3</v>
          </cell>
          <cell r="E13">
            <v>0</v>
          </cell>
          <cell r="F13">
            <v>1</v>
          </cell>
        </row>
        <row r="14">
          <cell r="A14" t="str">
            <v>2025</v>
          </cell>
          <cell r="B14">
            <v>4</v>
          </cell>
          <cell r="C14">
            <v>2</v>
          </cell>
          <cell r="D14">
            <v>4</v>
          </cell>
          <cell r="E14">
            <v>0</v>
          </cell>
          <cell r="F14">
            <v>0</v>
          </cell>
        </row>
        <row r="15">
          <cell r="A15" t="str">
            <v>2026</v>
          </cell>
          <cell r="B15">
            <v>1</v>
          </cell>
          <cell r="C15">
            <v>1</v>
          </cell>
          <cell r="D15">
            <v>0</v>
          </cell>
          <cell r="E15">
            <v>1</v>
          </cell>
          <cell r="F15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EDBF6-5BB6-374E-A22A-C1B7845A1AD9}">
  <dimension ref="A1:G29"/>
  <sheetViews>
    <sheetView topLeftCell="A3" zoomScale="140" zoomScaleNormal="140" workbookViewId="0">
      <selection activeCell="I13" sqref="I13"/>
    </sheetView>
  </sheetViews>
  <sheetFormatPr baseColWidth="10" defaultColWidth="8.6640625" defaultRowHeight="15" x14ac:dyDescent="0.2"/>
  <cols>
    <col min="1" max="1" width="28" style="1" customWidth="1"/>
    <col min="2" max="2" width="7" style="1" customWidth="1"/>
    <col min="3" max="3" width="22" style="1" customWidth="1"/>
    <col min="4" max="4" width="14" style="1" customWidth="1"/>
    <col min="5" max="5" width="30" style="1" customWidth="1"/>
    <col min="6" max="6" width="25" style="1" customWidth="1"/>
    <col min="7" max="7" width="30" style="1" customWidth="1"/>
    <col min="8" max="16384" width="8.6640625" style="1"/>
  </cols>
  <sheetData>
    <row r="1" spans="1:7" s="128" customFormat="1" ht="25.5" customHeight="1" x14ac:dyDescent="0.2">
      <c r="A1" s="126" t="s">
        <v>251</v>
      </c>
      <c r="B1" s="126"/>
      <c r="C1" s="126"/>
      <c r="D1" s="126"/>
      <c r="E1" s="126"/>
      <c r="F1" s="126"/>
      <c r="G1" s="126"/>
    </row>
    <row r="2" spans="1:7" ht="18" customHeight="1" x14ac:dyDescent="0.2">
      <c r="A2" s="2"/>
      <c r="B2" s="2"/>
      <c r="C2" s="2"/>
      <c r="D2" s="2"/>
      <c r="E2" s="2"/>
      <c r="F2" s="2"/>
      <c r="G2" s="2"/>
    </row>
    <row r="4" spans="1:7" s="128" customFormat="1" ht="19.5" customHeight="1" x14ac:dyDescent="0.2">
      <c r="A4" s="130" t="s">
        <v>236</v>
      </c>
      <c r="B4" s="130"/>
      <c r="C4" s="130"/>
      <c r="D4" s="130"/>
      <c r="E4" s="130"/>
      <c r="F4" s="130"/>
      <c r="G4" s="130"/>
    </row>
    <row r="5" spans="1:7" ht="25.5" customHeight="1" x14ac:dyDescent="0.2">
      <c r="A5" s="23" t="s">
        <v>0</v>
      </c>
      <c r="B5" s="23" t="s">
        <v>1</v>
      </c>
      <c r="C5" s="23" t="s">
        <v>2</v>
      </c>
      <c r="D5" s="23" t="s">
        <v>3</v>
      </c>
      <c r="E5" s="23" t="s">
        <v>4</v>
      </c>
      <c r="F5" s="23" t="s">
        <v>5</v>
      </c>
      <c r="G5" s="23" t="s">
        <v>6</v>
      </c>
    </row>
    <row r="6" spans="1:7" ht="34.5" customHeight="1" x14ac:dyDescent="0.2">
      <c r="A6" s="24" t="s">
        <v>7</v>
      </c>
      <c r="B6" s="25">
        <v>2015</v>
      </c>
      <c r="C6" s="25">
        <v>2018</v>
      </c>
      <c r="D6" s="25" t="s">
        <v>8</v>
      </c>
      <c r="E6" s="26" t="s">
        <v>9</v>
      </c>
      <c r="F6" s="27" t="s">
        <v>10</v>
      </c>
      <c r="G6" s="25" t="s">
        <v>11</v>
      </c>
    </row>
    <row r="7" spans="1:7" ht="34.5" customHeight="1" x14ac:dyDescent="0.2">
      <c r="A7" s="28" t="s">
        <v>12</v>
      </c>
      <c r="B7" s="25">
        <v>2017</v>
      </c>
      <c r="C7" s="25">
        <v>2021</v>
      </c>
      <c r="D7" s="25" t="s">
        <v>13</v>
      </c>
      <c r="E7" s="29" t="s">
        <v>14</v>
      </c>
      <c r="F7" s="27" t="s">
        <v>15</v>
      </c>
      <c r="G7" s="25" t="s">
        <v>16</v>
      </c>
    </row>
    <row r="8" spans="1:7" ht="34.5" customHeight="1" x14ac:dyDescent="0.2">
      <c r="A8" s="30" t="s">
        <v>17</v>
      </c>
      <c r="B8" s="25">
        <v>2019</v>
      </c>
      <c r="C8" s="25">
        <v>2023</v>
      </c>
      <c r="D8" s="25" t="s">
        <v>18</v>
      </c>
      <c r="E8" s="31" t="s">
        <v>19</v>
      </c>
      <c r="F8" s="27" t="s">
        <v>20</v>
      </c>
      <c r="G8" s="25" t="s">
        <v>21</v>
      </c>
    </row>
    <row r="9" spans="1:7" ht="34.5" customHeight="1" x14ac:dyDescent="0.2">
      <c r="A9" s="32" t="s">
        <v>22</v>
      </c>
      <c r="B9" s="25">
        <v>2021</v>
      </c>
      <c r="C9" s="25">
        <v>2026</v>
      </c>
      <c r="D9" s="25" t="s">
        <v>23</v>
      </c>
      <c r="E9" s="33" t="s">
        <v>24</v>
      </c>
      <c r="F9" s="27" t="s">
        <v>25</v>
      </c>
      <c r="G9" s="25" t="s">
        <v>26</v>
      </c>
    </row>
    <row r="10" spans="1:7" ht="34.5" customHeight="1" x14ac:dyDescent="0.2">
      <c r="A10" s="34" t="s">
        <v>27</v>
      </c>
      <c r="B10" s="25">
        <v>2021</v>
      </c>
      <c r="C10" s="25">
        <v>2026</v>
      </c>
      <c r="D10" s="25" t="s">
        <v>8</v>
      </c>
      <c r="E10" s="35" t="s">
        <v>28</v>
      </c>
      <c r="F10" s="27" t="s">
        <v>29</v>
      </c>
      <c r="G10" s="25" t="s">
        <v>30</v>
      </c>
    </row>
    <row r="11" spans="1:7" ht="34.5" customHeight="1" x14ac:dyDescent="0.2">
      <c r="A11" s="36" t="s">
        <v>31</v>
      </c>
      <c r="B11" s="25">
        <v>2022</v>
      </c>
      <c r="C11" s="25">
        <v>2026</v>
      </c>
      <c r="D11" s="25" t="s">
        <v>32</v>
      </c>
      <c r="E11" s="37" t="s">
        <v>33</v>
      </c>
      <c r="F11" s="27" t="s">
        <v>34</v>
      </c>
      <c r="G11" s="25" t="s">
        <v>35</v>
      </c>
    </row>
    <row r="13" spans="1:7" s="128" customFormat="1" ht="19.5" customHeight="1" x14ac:dyDescent="0.2">
      <c r="A13" s="130" t="s">
        <v>237</v>
      </c>
      <c r="B13" s="130"/>
      <c r="C13" s="130"/>
      <c r="D13" s="130"/>
      <c r="E13" s="130"/>
      <c r="F13" s="130"/>
      <c r="G13" s="130"/>
    </row>
    <row r="14" spans="1:7" ht="25.5" customHeight="1" x14ac:dyDescent="0.2">
      <c r="A14" s="23" t="s">
        <v>36</v>
      </c>
      <c r="B14" s="23" t="s">
        <v>37</v>
      </c>
      <c r="C14" s="23" t="s">
        <v>0</v>
      </c>
      <c r="D14" s="23" t="s">
        <v>38</v>
      </c>
      <c r="E14" s="23" t="s">
        <v>39</v>
      </c>
      <c r="F14" s="23" t="s">
        <v>40</v>
      </c>
      <c r="G14" s="23" t="s">
        <v>41</v>
      </c>
    </row>
    <row r="15" spans="1:7" ht="39.75" customHeight="1" x14ac:dyDescent="0.2">
      <c r="A15" s="24" t="s">
        <v>42</v>
      </c>
      <c r="B15" s="25">
        <v>2015</v>
      </c>
      <c r="C15" s="26" t="s">
        <v>43</v>
      </c>
      <c r="D15" s="25" t="s">
        <v>44</v>
      </c>
      <c r="E15" s="38" t="s">
        <v>238</v>
      </c>
      <c r="F15" s="27" t="s">
        <v>45</v>
      </c>
      <c r="G15" s="39" t="s">
        <v>46</v>
      </c>
    </row>
    <row r="16" spans="1:7" ht="39.75" customHeight="1" x14ac:dyDescent="0.2">
      <c r="A16" s="28" t="s">
        <v>47</v>
      </c>
      <c r="B16" s="25">
        <v>2017</v>
      </c>
      <c r="C16" s="29" t="s">
        <v>48</v>
      </c>
      <c r="D16" s="25" t="s">
        <v>49</v>
      </c>
      <c r="E16" s="38" t="s">
        <v>239</v>
      </c>
      <c r="F16" s="27" t="s">
        <v>50</v>
      </c>
      <c r="G16" s="39" t="s">
        <v>51</v>
      </c>
    </row>
    <row r="17" spans="1:7" ht="39.75" customHeight="1" x14ac:dyDescent="0.2">
      <c r="A17" s="28" t="s">
        <v>52</v>
      </c>
      <c r="B17" s="25">
        <v>2019</v>
      </c>
      <c r="C17" s="29" t="s">
        <v>48</v>
      </c>
      <c r="D17" s="25" t="s">
        <v>44</v>
      </c>
      <c r="E17" s="38" t="s">
        <v>240</v>
      </c>
      <c r="F17" s="27" t="s">
        <v>53</v>
      </c>
      <c r="G17" s="39" t="s">
        <v>54</v>
      </c>
    </row>
    <row r="18" spans="1:7" ht="39.75" customHeight="1" x14ac:dyDescent="0.2">
      <c r="A18" s="30" t="s">
        <v>55</v>
      </c>
      <c r="B18" s="25">
        <v>2019</v>
      </c>
      <c r="C18" s="31" t="s">
        <v>56</v>
      </c>
      <c r="D18" s="25" t="s">
        <v>44</v>
      </c>
      <c r="E18" s="38" t="s">
        <v>57</v>
      </c>
      <c r="F18" s="27" t="s">
        <v>58</v>
      </c>
      <c r="G18" s="39" t="s">
        <v>59</v>
      </c>
    </row>
    <row r="19" spans="1:7" ht="39.75" customHeight="1" x14ac:dyDescent="0.2">
      <c r="A19" s="30" t="s">
        <v>60</v>
      </c>
      <c r="B19" s="25">
        <v>2020</v>
      </c>
      <c r="C19" s="31" t="s">
        <v>56</v>
      </c>
      <c r="D19" s="25" t="s">
        <v>44</v>
      </c>
      <c r="E19" s="38" t="s">
        <v>61</v>
      </c>
      <c r="F19" s="27" t="s">
        <v>62</v>
      </c>
      <c r="G19" s="39" t="s">
        <v>63</v>
      </c>
    </row>
    <row r="20" spans="1:7" ht="39.75" customHeight="1" x14ac:dyDescent="0.2">
      <c r="A20" s="32" t="s">
        <v>64</v>
      </c>
      <c r="B20" s="25">
        <v>2021</v>
      </c>
      <c r="C20" s="33" t="s">
        <v>65</v>
      </c>
      <c r="D20" s="25" t="s">
        <v>66</v>
      </c>
      <c r="E20" s="38" t="s">
        <v>67</v>
      </c>
      <c r="F20" s="27" t="s">
        <v>68</v>
      </c>
      <c r="G20" s="39" t="s">
        <v>69</v>
      </c>
    </row>
    <row r="21" spans="1:7" ht="39.75" customHeight="1" x14ac:dyDescent="0.2">
      <c r="A21" s="34" t="s">
        <v>241</v>
      </c>
      <c r="B21" s="25">
        <v>2021</v>
      </c>
      <c r="C21" s="35" t="s">
        <v>70</v>
      </c>
      <c r="D21" s="25" t="s">
        <v>49</v>
      </c>
      <c r="E21" s="38" t="s">
        <v>71</v>
      </c>
      <c r="F21" s="27" t="s">
        <v>72</v>
      </c>
      <c r="G21" s="39" t="s">
        <v>73</v>
      </c>
    </row>
    <row r="22" spans="1:7" ht="39.75" customHeight="1" x14ac:dyDescent="0.2">
      <c r="A22" s="40" t="s">
        <v>74</v>
      </c>
      <c r="B22" s="25">
        <v>2022</v>
      </c>
      <c r="C22" s="41" t="s">
        <v>75</v>
      </c>
      <c r="D22" s="25" t="s">
        <v>49</v>
      </c>
      <c r="E22" s="38" t="s">
        <v>76</v>
      </c>
      <c r="F22" s="27" t="s">
        <v>77</v>
      </c>
      <c r="G22" s="39" t="s">
        <v>78</v>
      </c>
    </row>
    <row r="23" spans="1:7" ht="39.75" customHeight="1" x14ac:dyDescent="0.2">
      <c r="A23" s="34" t="s">
        <v>79</v>
      </c>
      <c r="B23" s="25">
        <v>2023</v>
      </c>
      <c r="C23" s="35" t="s">
        <v>70</v>
      </c>
      <c r="D23" s="25" t="s">
        <v>80</v>
      </c>
      <c r="E23" s="38" t="s">
        <v>81</v>
      </c>
      <c r="F23" s="27" t="s">
        <v>82</v>
      </c>
      <c r="G23" s="39" t="s">
        <v>83</v>
      </c>
    </row>
    <row r="24" spans="1:7" ht="39.75" customHeight="1" x14ac:dyDescent="0.2">
      <c r="A24" s="36" t="s">
        <v>84</v>
      </c>
      <c r="B24" s="25">
        <v>2023</v>
      </c>
      <c r="C24" s="37" t="s">
        <v>85</v>
      </c>
      <c r="D24" s="25" t="s">
        <v>86</v>
      </c>
      <c r="E24" s="38" t="s">
        <v>87</v>
      </c>
      <c r="F24" s="27" t="s">
        <v>88</v>
      </c>
      <c r="G24" s="39" t="s">
        <v>89</v>
      </c>
    </row>
    <row r="25" spans="1:7" ht="39.75" customHeight="1" x14ac:dyDescent="0.2">
      <c r="A25" s="34" t="s">
        <v>242</v>
      </c>
      <c r="B25" s="25">
        <v>2023</v>
      </c>
      <c r="C25" s="35" t="s">
        <v>70</v>
      </c>
      <c r="D25" s="25" t="s">
        <v>90</v>
      </c>
      <c r="E25" s="38" t="s">
        <v>91</v>
      </c>
      <c r="F25" s="27" t="s">
        <v>92</v>
      </c>
      <c r="G25" s="39" t="s">
        <v>93</v>
      </c>
    </row>
    <row r="26" spans="1:7" ht="39.75" customHeight="1" x14ac:dyDescent="0.2">
      <c r="A26" s="36" t="s">
        <v>94</v>
      </c>
      <c r="B26" s="25">
        <v>2024</v>
      </c>
      <c r="C26" s="37" t="s">
        <v>85</v>
      </c>
      <c r="D26" s="25" t="s">
        <v>95</v>
      </c>
      <c r="E26" s="38" t="s">
        <v>96</v>
      </c>
      <c r="F26" s="27" t="s">
        <v>97</v>
      </c>
      <c r="G26" s="39" t="s">
        <v>98</v>
      </c>
    </row>
    <row r="27" spans="1:7" ht="39.75" customHeight="1" x14ac:dyDescent="0.2">
      <c r="A27" s="32" t="s">
        <v>99</v>
      </c>
      <c r="B27" s="25">
        <v>2025</v>
      </c>
      <c r="C27" s="33" t="s">
        <v>65</v>
      </c>
      <c r="D27" s="25" t="s">
        <v>80</v>
      </c>
      <c r="E27" s="38" t="s">
        <v>100</v>
      </c>
      <c r="F27" s="27" t="s">
        <v>101</v>
      </c>
      <c r="G27" s="39" t="s">
        <v>102</v>
      </c>
    </row>
    <row r="29" spans="1:7" ht="30" customHeight="1" x14ac:dyDescent="0.2">
      <c r="A29" s="42" t="s">
        <v>243</v>
      </c>
      <c r="B29" s="42"/>
      <c r="C29" s="42"/>
      <c r="D29" s="42"/>
      <c r="E29" s="42"/>
      <c r="F29" s="42"/>
      <c r="G29" s="42"/>
    </row>
  </sheetData>
  <mergeCells count="5">
    <mergeCell ref="A1:G1"/>
    <mergeCell ref="A2:G2"/>
    <mergeCell ref="A4:G4"/>
    <mergeCell ref="A13:G13"/>
    <mergeCell ref="A29:G2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DE0DA-A135-D04F-8394-3D343780B6D6}">
  <dimension ref="A1:H11"/>
  <sheetViews>
    <sheetView zoomScale="140" zoomScaleNormal="140" workbookViewId="0">
      <selection sqref="A1:XFD1"/>
    </sheetView>
  </sheetViews>
  <sheetFormatPr baseColWidth="10" defaultColWidth="8.6640625" defaultRowHeight="15" x14ac:dyDescent="0.2"/>
  <cols>
    <col min="1" max="1" width="28" style="1" customWidth="1"/>
    <col min="2" max="2" width="7" style="1" customWidth="1"/>
    <col min="3" max="3" width="10" style="1" customWidth="1"/>
    <col min="4" max="4" width="18" style="1" customWidth="1"/>
    <col min="5" max="5" width="15" style="1" customWidth="1"/>
    <col min="6" max="6" width="18" style="1" customWidth="1"/>
    <col min="7" max="7" width="15" style="1" customWidth="1"/>
    <col min="8" max="8" width="40" style="1" customWidth="1"/>
    <col min="9" max="16384" width="8.6640625" style="1"/>
  </cols>
  <sheetData>
    <row r="1" spans="1:8" s="128" customFormat="1" ht="27.75" customHeight="1" x14ac:dyDescent="0.2">
      <c r="A1" s="126" t="s">
        <v>252</v>
      </c>
      <c r="B1" s="126"/>
      <c r="C1" s="126"/>
      <c r="D1" s="126"/>
      <c r="E1" s="126"/>
      <c r="F1" s="126"/>
      <c r="G1" s="126"/>
      <c r="H1" s="126"/>
    </row>
    <row r="2" spans="1:8" ht="19.5" customHeight="1" x14ac:dyDescent="0.2">
      <c r="A2" s="2" t="s">
        <v>231</v>
      </c>
      <c r="B2" s="2"/>
      <c r="C2" s="2"/>
      <c r="D2" s="2"/>
      <c r="E2" s="2"/>
      <c r="F2" s="2"/>
      <c r="G2" s="2"/>
      <c r="H2" s="2"/>
    </row>
    <row r="4" spans="1:8" ht="27.75" customHeight="1" thickBot="1" x14ac:dyDescent="0.25">
      <c r="A4" s="43" t="s">
        <v>103</v>
      </c>
      <c r="B4" s="43" t="s">
        <v>37</v>
      </c>
      <c r="C4" s="43" t="s">
        <v>104</v>
      </c>
      <c r="D4" s="43" t="s">
        <v>38</v>
      </c>
      <c r="E4" s="43" t="s">
        <v>105</v>
      </c>
      <c r="F4" s="43" t="s">
        <v>106</v>
      </c>
      <c r="G4" s="43" t="s">
        <v>107</v>
      </c>
      <c r="H4" s="43" t="s">
        <v>108</v>
      </c>
    </row>
    <row r="5" spans="1:8" ht="45" customHeight="1" x14ac:dyDescent="0.2">
      <c r="A5" s="44" t="s">
        <v>42</v>
      </c>
      <c r="B5" s="45">
        <v>2015</v>
      </c>
      <c r="C5" s="46">
        <v>25</v>
      </c>
      <c r="D5" s="44" t="s">
        <v>44</v>
      </c>
      <c r="E5" s="45" t="s">
        <v>109</v>
      </c>
      <c r="F5" s="45" t="s">
        <v>110</v>
      </c>
      <c r="G5" s="45">
        <v>7</v>
      </c>
      <c r="H5" s="47" t="s">
        <v>232</v>
      </c>
    </row>
    <row r="6" spans="1:8" ht="45" customHeight="1" x14ac:dyDescent="0.2">
      <c r="A6" s="48" t="s">
        <v>60</v>
      </c>
      <c r="B6" s="49">
        <v>2020</v>
      </c>
      <c r="C6" s="50">
        <v>3</v>
      </c>
      <c r="D6" s="48" t="s">
        <v>44</v>
      </c>
      <c r="E6" s="49" t="s">
        <v>109</v>
      </c>
      <c r="F6" s="49" t="s">
        <v>111</v>
      </c>
      <c r="G6" s="49">
        <v>4</v>
      </c>
      <c r="H6" s="51" t="s">
        <v>233</v>
      </c>
    </row>
    <row r="7" spans="1:8" ht="45" customHeight="1" x14ac:dyDescent="0.2">
      <c r="A7" s="44" t="s">
        <v>112</v>
      </c>
      <c r="B7" s="45">
        <v>2021</v>
      </c>
      <c r="C7" s="46">
        <v>26</v>
      </c>
      <c r="D7" s="44" t="s">
        <v>44</v>
      </c>
      <c r="E7" s="45" t="s">
        <v>113</v>
      </c>
      <c r="F7" s="45" t="s">
        <v>110</v>
      </c>
      <c r="G7" s="45">
        <v>1</v>
      </c>
      <c r="H7" s="47" t="s">
        <v>114</v>
      </c>
    </row>
    <row r="8" spans="1:8" ht="45" customHeight="1" x14ac:dyDescent="0.2">
      <c r="A8" s="52" t="s">
        <v>115</v>
      </c>
      <c r="B8" s="53">
        <v>2023</v>
      </c>
      <c r="C8" s="54">
        <v>9</v>
      </c>
      <c r="D8" s="52" t="s">
        <v>95</v>
      </c>
      <c r="E8" s="53" t="s">
        <v>116</v>
      </c>
      <c r="F8" s="53" t="s">
        <v>110</v>
      </c>
      <c r="G8" s="53">
        <v>1</v>
      </c>
      <c r="H8" s="19" t="s">
        <v>117</v>
      </c>
    </row>
    <row r="9" spans="1:8" ht="45" customHeight="1" x14ac:dyDescent="0.2">
      <c r="A9" s="44" t="s">
        <v>118</v>
      </c>
      <c r="B9" s="45">
        <v>2023</v>
      </c>
      <c r="C9" s="46">
        <v>25</v>
      </c>
      <c r="D9" s="44" t="s">
        <v>119</v>
      </c>
      <c r="E9" s="45" t="s">
        <v>116</v>
      </c>
      <c r="F9" s="45" t="s">
        <v>110</v>
      </c>
      <c r="G9" s="45">
        <v>1</v>
      </c>
      <c r="H9" s="47" t="s">
        <v>234</v>
      </c>
    </row>
    <row r="10" spans="1:8" ht="45" customHeight="1" x14ac:dyDescent="0.2">
      <c r="A10" s="52" t="s">
        <v>94</v>
      </c>
      <c r="B10" s="53">
        <v>2024</v>
      </c>
      <c r="C10" s="54">
        <v>2.5</v>
      </c>
      <c r="D10" s="52" t="s">
        <v>95</v>
      </c>
      <c r="E10" s="53" t="s">
        <v>116</v>
      </c>
      <c r="F10" s="53" t="s">
        <v>110</v>
      </c>
      <c r="G10" s="53">
        <v>1</v>
      </c>
      <c r="H10" s="19" t="s">
        <v>120</v>
      </c>
    </row>
    <row r="11" spans="1:8" ht="30" customHeight="1" x14ac:dyDescent="0.2">
      <c r="A11" s="55" t="s">
        <v>235</v>
      </c>
      <c r="B11" s="55"/>
      <c r="C11" s="55"/>
      <c r="D11" s="55"/>
      <c r="E11" s="55"/>
      <c r="F11" s="55"/>
      <c r="G11" s="55"/>
      <c r="H11" s="55"/>
    </row>
  </sheetData>
  <mergeCells count="3">
    <mergeCell ref="A1:H1"/>
    <mergeCell ref="A2:H2"/>
    <mergeCell ref="A11:H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AC32C-7E4F-EE46-B917-EAB47A21A544}">
  <dimension ref="A1:L35"/>
  <sheetViews>
    <sheetView zoomScale="150" zoomScaleNormal="150" workbookViewId="0">
      <selection sqref="A1:XFD1"/>
    </sheetView>
  </sheetViews>
  <sheetFormatPr baseColWidth="10" defaultColWidth="8.6640625" defaultRowHeight="15" x14ac:dyDescent="0.2"/>
  <cols>
    <col min="1" max="16384" width="8.6640625" style="1"/>
  </cols>
  <sheetData>
    <row r="1" spans="1:8" s="128" customFormat="1" x14ac:dyDescent="0.2">
      <c r="A1" s="129" t="s">
        <v>121</v>
      </c>
      <c r="B1" s="129" t="s">
        <v>122</v>
      </c>
      <c r="C1" s="129" t="s">
        <v>123</v>
      </c>
      <c r="D1" s="129" t="s">
        <v>124</v>
      </c>
      <c r="E1" s="129" t="s">
        <v>125</v>
      </c>
      <c r="F1" s="129" t="s">
        <v>126</v>
      </c>
      <c r="G1" s="129" t="s">
        <v>127</v>
      </c>
      <c r="H1" s="129" t="s">
        <v>128</v>
      </c>
    </row>
    <row r="2" spans="1:8" x14ac:dyDescent="0.2">
      <c r="A2" s="1">
        <v>2015</v>
      </c>
      <c r="B2" s="1">
        <v>25</v>
      </c>
      <c r="C2" s="1">
        <v>2023</v>
      </c>
      <c r="D2" s="1">
        <v>9</v>
      </c>
      <c r="E2" s="1">
        <v>2020</v>
      </c>
      <c r="F2" s="1">
        <v>3</v>
      </c>
      <c r="G2" s="1">
        <v>2023</v>
      </c>
      <c r="H2" s="1">
        <v>25</v>
      </c>
    </row>
    <row r="3" spans="1:8" x14ac:dyDescent="0.2">
      <c r="A3" s="1">
        <v>2021</v>
      </c>
      <c r="B3" s="1">
        <v>26</v>
      </c>
      <c r="C3" s="1">
        <v>2024</v>
      </c>
      <c r="D3" s="1">
        <v>2.5</v>
      </c>
    </row>
    <row r="30" spans="1:12" x14ac:dyDescent="0.2">
      <c r="A30" s="56" t="s">
        <v>129</v>
      </c>
    </row>
    <row r="31" spans="1:12" x14ac:dyDescent="0.2">
      <c r="A31" s="57" t="s">
        <v>130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</row>
    <row r="32" spans="1:12" x14ac:dyDescent="0.2">
      <c r="A32" s="57" t="s">
        <v>131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</row>
    <row r="33" spans="1:12" x14ac:dyDescent="0.2">
      <c r="A33" s="57" t="s">
        <v>132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2" x14ac:dyDescent="0.2">
      <c r="A34" s="57" t="s">
        <v>133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</row>
    <row r="35" spans="1:12" x14ac:dyDescent="0.2">
      <c r="A35" s="57" t="s">
        <v>134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</row>
  </sheetData>
  <mergeCells count="5">
    <mergeCell ref="A31:L31"/>
    <mergeCell ref="A32:L32"/>
    <mergeCell ref="A33:L33"/>
    <mergeCell ref="A34:L34"/>
    <mergeCell ref="A35:L3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882B0-04B6-F44B-BAD4-609FAADA3C11}">
  <dimension ref="A1:F18"/>
  <sheetViews>
    <sheetView zoomScaleNormal="100" workbookViewId="0">
      <selection activeCell="A4" sqref="A4:XFD4"/>
    </sheetView>
  </sheetViews>
  <sheetFormatPr baseColWidth="10" defaultColWidth="8.6640625" defaultRowHeight="15" x14ac:dyDescent="0.2"/>
  <cols>
    <col min="1" max="1" width="28" style="1" customWidth="1"/>
    <col min="2" max="5" width="20" style="1" customWidth="1"/>
    <col min="6" max="16384" width="8.6640625" style="1"/>
  </cols>
  <sheetData>
    <row r="1" spans="1:6" s="128" customFormat="1" ht="25.5" customHeight="1" x14ac:dyDescent="0.2">
      <c r="A1" s="126" t="s">
        <v>375</v>
      </c>
      <c r="B1" s="126"/>
      <c r="C1" s="126"/>
      <c r="D1" s="126"/>
      <c r="E1" s="126"/>
      <c r="F1" s="126"/>
    </row>
    <row r="2" spans="1:6" ht="19.5" customHeight="1" x14ac:dyDescent="0.2">
      <c r="A2" s="2" t="s">
        <v>376</v>
      </c>
      <c r="B2" s="2"/>
      <c r="C2" s="2"/>
      <c r="D2" s="2"/>
      <c r="E2" s="2"/>
      <c r="F2" s="2"/>
    </row>
    <row r="4" spans="1:6" s="128" customFormat="1" ht="19.5" customHeight="1" thickBot="1" x14ac:dyDescent="0.25">
      <c r="A4" s="130" t="s">
        <v>377</v>
      </c>
      <c r="B4" s="130"/>
      <c r="C4" s="130"/>
      <c r="D4" s="130"/>
      <c r="E4" s="130"/>
      <c r="F4" s="130"/>
    </row>
    <row r="5" spans="1:6" ht="27.75" customHeight="1" thickBot="1" x14ac:dyDescent="0.25">
      <c r="A5" s="58" t="s">
        <v>258</v>
      </c>
      <c r="B5" s="100" t="s">
        <v>259</v>
      </c>
      <c r="C5" s="101" t="s">
        <v>260</v>
      </c>
      <c r="D5" s="102" t="s">
        <v>261</v>
      </c>
      <c r="E5" s="103" t="s">
        <v>262</v>
      </c>
    </row>
    <row r="6" spans="1:6" ht="25.5" customHeight="1" x14ac:dyDescent="0.2">
      <c r="A6" s="104" t="s">
        <v>263</v>
      </c>
      <c r="B6" s="105" t="s">
        <v>264</v>
      </c>
      <c r="C6" s="106" t="s">
        <v>265</v>
      </c>
      <c r="D6" s="106" t="s">
        <v>265</v>
      </c>
      <c r="E6" s="106" t="s">
        <v>265</v>
      </c>
    </row>
    <row r="7" spans="1:6" ht="25.5" customHeight="1" x14ac:dyDescent="0.2">
      <c r="A7" s="104" t="s">
        <v>266</v>
      </c>
      <c r="B7" s="107" t="s">
        <v>267</v>
      </c>
      <c r="C7" s="107" t="s">
        <v>267</v>
      </c>
      <c r="D7" s="105" t="s">
        <v>264</v>
      </c>
      <c r="E7" s="108" t="s">
        <v>268</v>
      </c>
    </row>
    <row r="8" spans="1:6" ht="25.5" customHeight="1" x14ac:dyDescent="0.2">
      <c r="A8" s="104" t="s">
        <v>269</v>
      </c>
      <c r="B8" s="106" t="s">
        <v>265</v>
      </c>
      <c r="C8" s="106" t="s">
        <v>265</v>
      </c>
      <c r="D8" s="107" t="s">
        <v>267</v>
      </c>
      <c r="E8" s="108" t="s">
        <v>268</v>
      </c>
    </row>
    <row r="9" spans="1:6" ht="25.5" customHeight="1" x14ac:dyDescent="0.2">
      <c r="A9" s="104" t="s">
        <v>270</v>
      </c>
      <c r="B9" s="107" t="s">
        <v>267</v>
      </c>
      <c r="C9" s="106" t="s">
        <v>265</v>
      </c>
      <c r="D9" s="107" t="s">
        <v>267</v>
      </c>
      <c r="E9" s="106" t="s">
        <v>265</v>
      </c>
    </row>
    <row r="10" spans="1:6" ht="25.5" customHeight="1" x14ac:dyDescent="0.2">
      <c r="A10" s="104" t="s">
        <v>271</v>
      </c>
      <c r="B10" s="106" t="s">
        <v>265</v>
      </c>
      <c r="C10" s="107" t="s">
        <v>267</v>
      </c>
      <c r="D10" s="108" t="s">
        <v>268</v>
      </c>
      <c r="E10" s="105" t="s">
        <v>264</v>
      </c>
    </row>
    <row r="11" spans="1:6" ht="25.5" customHeight="1" x14ac:dyDescent="0.2">
      <c r="A11" s="104" t="s">
        <v>272</v>
      </c>
      <c r="B11" s="109" t="s">
        <v>273</v>
      </c>
      <c r="C11" s="106" t="s">
        <v>265</v>
      </c>
      <c r="D11" s="109" t="s">
        <v>273</v>
      </c>
      <c r="E11" s="105" t="s">
        <v>264</v>
      </c>
    </row>
    <row r="12" spans="1:6" ht="25.5" customHeight="1" x14ac:dyDescent="0.2">
      <c r="A12" s="104" t="s">
        <v>274</v>
      </c>
      <c r="B12" s="106" t="s">
        <v>265</v>
      </c>
      <c r="C12" s="106" t="s">
        <v>265</v>
      </c>
      <c r="D12" s="105" t="s">
        <v>264</v>
      </c>
      <c r="E12" s="107" t="s">
        <v>267</v>
      </c>
    </row>
    <row r="13" spans="1:6" ht="19.5" customHeight="1" x14ac:dyDescent="0.2">
      <c r="A13" s="110" t="s">
        <v>378</v>
      </c>
      <c r="B13" s="110"/>
      <c r="C13" s="110"/>
      <c r="D13" s="110"/>
      <c r="E13" s="110"/>
      <c r="F13" s="110"/>
    </row>
    <row r="14" spans="1:6" ht="21.75" customHeight="1" x14ac:dyDescent="0.2">
      <c r="A14" s="105" t="s">
        <v>264</v>
      </c>
      <c r="B14" s="111" t="s">
        <v>275</v>
      </c>
      <c r="C14" s="111"/>
      <c r="D14" s="111"/>
      <c r="E14" s="111"/>
      <c r="F14" s="111"/>
    </row>
    <row r="15" spans="1:6" ht="21.75" customHeight="1" x14ac:dyDescent="0.2">
      <c r="A15" s="106" t="s">
        <v>265</v>
      </c>
      <c r="B15" s="111" t="s">
        <v>276</v>
      </c>
      <c r="C15" s="111"/>
      <c r="D15" s="111"/>
      <c r="E15" s="111"/>
      <c r="F15" s="111"/>
    </row>
    <row r="16" spans="1:6" ht="21.75" customHeight="1" x14ac:dyDescent="0.2">
      <c r="A16" s="107" t="s">
        <v>267</v>
      </c>
      <c r="B16" s="111" t="s">
        <v>277</v>
      </c>
      <c r="C16" s="111"/>
      <c r="D16" s="111"/>
      <c r="E16" s="111"/>
      <c r="F16" s="111"/>
    </row>
    <row r="17" spans="1:6" ht="21.75" customHeight="1" x14ac:dyDescent="0.2">
      <c r="A17" s="108" t="s">
        <v>268</v>
      </c>
      <c r="B17" s="111" t="s">
        <v>278</v>
      </c>
      <c r="C17" s="111"/>
      <c r="D17" s="111"/>
      <c r="E17" s="111"/>
      <c r="F17" s="111"/>
    </row>
    <row r="18" spans="1:6" ht="21.75" customHeight="1" x14ac:dyDescent="0.2">
      <c r="A18" s="109" t="s">
        <v>273</v>
      </c>
      <c r="B18" s="111" t="s">
        <v>279</v>
      </c>
      <c r="C18" s="111"/>
      <c r="D18" s="111"/>
      <c r="E18" s="111"/>
      <c r="F18" s="111"/>
    </row>
  </sheetData>
  <mergeCells count="9">
    <mergeCell ref="B16:F16"/>
    <mergeCell ref="B17:F17"/>
    <mergeCell ref="B18:F18"/>
    <mergeCell ref="A1:F1"/>
    <mergeCell ref="A2:F2"/>
    <mergeCell ref="A4:F4"/>
    <mergeCell ref="A13:F13"/>
    <mergeCell ref="B14:F14"/>
    <mergeCell ref="B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343F-DA15-3F4A-9C83-3C418DBD20FD}">
  <dimension ref="A1:G33"/>
  <sheetViews>
    <sheetView zoomScaleNormal="100" workbookViewId="0">
      <selection sqref="A1:XFD1"/>
    </sheetView>
  </sheetViews>
  <sheetFormatPr baseColWidth="10" defaultColWidth="8.6640625" defaultRowHeight="15" x14ac:dyDescent="0.2"/>
  <cols>
    <col min="1" max="1" width="20" style="1" customWidth="1"/>
    <col min="2" max="2" width="18" style="1" customWidth="1"/>
    <col min="3" max="3" width="16" style="1" customWidth="1"/>
    <col min="4" max="4" width="45" style="1" customWidth="1"/>
    <col min="5" max="5" width="30" style="1" customWidth="1"/>
    <col min="6" max="6" width="14" style="1" customWidth="1"/>
    <col min="7" max="7" width="30" style="1" customWidth="1"/>
    <col min="8" max="16384" width="8.6640625" style="1"/>
  </cols>
  <sheetData>
    <row r="1" spans="1:7" s="128" customFormat="1" ht="25.5" customHeight="1" x14ac:dyDescent="0.2">
      <c r="A1" s="126" t="s">
        <v>379</v>
      </c>
      <c r="B1" s="126"/>
      <c r="C1" s="126"/>
      <c r="D1" s="126"/>
      <c r="E1" s="126"/>
      <c r="F1" s="126"/>
      <c r="G1" s="126"/>
    </row>
    <row r="3" spans="1:7" ht="25.5" customHeight="1" x14ac:dyDescent="0.2">
      <c r="A3" s="112" t="s">
        <v>38</v>
      </c>
      <c r="B3" s="112" t="s">
        <v>280</v>
      </c>
      <c r="C3" s="112" t="s">
        <v>281</v>
      </c>
      <c r="D3" s="112" t="s">
        <v>282</v>
      </c>
      <c r="E3" s="112" t="s">
        <v>283</v>
      </c>
      <c r="F3" s="112" t="s">
        <v>284</v>
      </c>
      <c r="G3" s="112" t="s">
        <v>108</v>
      </c>
    </row>
    <row r="4" spans="1:7" ht="48" customHeight="1" x14ac:dyDescent="0.2">
      <c r="A4" s="113" t="s">
        <v>44</v>
      </c>
      <c r="B4" s="114" t="s">
        <v>109</v>
      </c>
      <c r="C4" s="115" t="s">
        <v>264</v>
      </c>
      <c r="D4" s="116" t="s">
        <v>285</v>
      </c>
      <c r="E4" s="116" t="s">
        <v>286</v>
      </c>
      <c r="F4" s="117" t="s">
        <v>287</v>
      </c>
      <c r="G4" s="116" t="s">
        <v>288</v>
      </c>
    </row>
    <row r="5" spans="1:7" ht="48" customHeight="1" x14ac:dyDescent="0.2">
      <c r="A5" s="118" t="s">
        <v>44</v>
      </c>
      <c r="B5" s="119" t="s">
        <v>289</v>
      </c>
      <c r="C5" s="120" t="s">
        <v>265</v>
      </c>
      <c r="D5" s="121" t="s">
        <v>290</v>
      </c>
      <c r="E5" s="121" t="s">
        <v>291</v>
      </c>
      <c r="F5" s="122" t="s">
        <v>292</v>
      </c>
      <c r="G5" s="121" t="s">
        <v>293</v>
      </c>
    </row>
    <row r="6" spans="1:7" ht="48" customHeight="1" x14ac:dyDescent="0.2">
      <c r="A6" s="113" t="s">
        <v>44</v>
      </c>
      <c r="B6" s="114" t="s">
        <v>294</v>
      </c>
      <c r="C6" s="120" t="s">
        <v>265</v>
      </c>
      <c r="D6" s="116" t="s">
        <v>295</v>
      </c>
      <c r="E6" s="116" t="s">
        <v>296</v>
      </c>
      <c r="F6" s="117" t="s">
        <v>292</v>
      </c>
      <c r="G6" s="116" t="s">
        <v>297</v>
      </c>
    </row>
    <row r="7" spans="1:7" ht="48" customHeight="1" x14ac:dyDescent="0.2">
      <c r="A7" s="118" t="s">
        <v>44</v>
      </c>
      <c r="B7" s="119" t="s">
        <v>298</v>
      </c>
      <c r="C7" s="120" t="s">
        <v>265</v>
      </c>
      <c r="D7" s="121" t="s">
        <v>299</v>
      </c>
      <c r="E7" s="121" t="s">
        <v>300</v>
      </c>
      <c r="F7" s="122" t="s">
        <v>292</v>
      </c>
      <c r="G7" s="121" t="s">
        <v>301</v>
      </c>
    </row>
    <row r="8" spans="1:7" ht="48" customHeight="1" x14ac:dyDescent="0.2">
      <c r="A8" s="113" t="s">
        <v>95</v>
      </c>
      <c r="B8" s="114" t="s">
        <v>109</v>
      </c>
      <c r="C8" s="123" t="s">
        <v>267</v>
      </c>
      <c r="D8" s="116" t="s">
        <v>302</v>
      </c>
      <c r="E8" s="116" t="s">
        <v>303</v>
      </c>
      <c r="F8" s="117" t="s">
        <v>304</v>
      </c>
      <c r="G8" s="116" t="s">
        <v>305</v>
      </c>
    </row>
    <row r="9" spans="1:7" ht="48" customHeight="1" x14ac:dyDescent="0.2">
      <c r="A9" s="118" t="s">
        <v>95</v>
      </c>
      <c r="B9" s="119" t="s">
        <v>289</v>
      </c>
      <c r="C9" s="123" t="s">
        <v>267</v>
      </c>
      <c r="D9" s="121" t="s">
        <v>306</v>
      </c>
      <c r="E9" s="121" t="s">
        <v>307</v>
      </c>
      <c r="F9" s="122" t="s">
        <v>304</v>
      </c>
      <c r="G9" s="121" t="s">
        <v>308</v>
      </c>
    </row>
    <row r="10" spans="1:7" ht="48" customHeight="1" x14ac:dyDescent="0.2">
      <c r="A10" s="113" t="s">
        <v>95</v>
      </c>
      <c r="B10" s="114" t="s">
        <v>294</v>
      </c>
      <c r="C10" s="115" t="s">
        <v>264</v>
      </c>
      <c r="D10" s="116" t="s">
        <v>309</v>
      </c>
      <c r="E10" s="116" t="s">
        <v>310</v>
      </c>
      <c r="F10" s="117" t="s">
        <v>311</v>
      </c>
      <c r="G10" s="116" t="s">
        <v>312</v>
      </c>
    </row>
    <row r="11" spans="1:7" ht="48" customHeight="1" x14ac:dyDescent="0.2">
      <c r="A11" s="118" t="s">
        <v>95</v>
      </c>
      <c r="B11" s="119" t="s">
        <v>298</v>
      </c>
      <c r="C11" s="124" t="s">
        <v>268</v>
      </c>
      <c r="D11" s="121" t="s">
        <v>313</v>
      </c>
      <c r="E11" s="121" t="s">
        <v>380</v>
      </c>
      <c r="F11" s="122" t="s">
        <v>314</v>
      </c>
      <c r="G11" s="121" t="s">
        <v>315</v>
      </c>
    </row>
    <row r="12" spans="1:7" ht="48" customHeight="1" x14ac:dyDescent="0.2">
      <c r="A12" s="113" t="s">
        <v>316</v>
      </c>
      <c r="B12" s="114" t="s">
        <v>109</v>
      </c>
      <c r="C12" s="120" t="s">
        <v>265</v>
      </c>
      <c r="D12" s="116" t="s">
        <v>317</v>
      </c>
      <c r="E12" s="116" t="s">
        <v>318</v>
      </c>
      <c r="F12" s="117" t="s">
        <v>304</v>
      </c>
      <c r="G12" s="116" t="s">
        <v>319</v>
      </c>
    </row>
    <row r="13" spans="1:7" ht="48" customHeight="1" x14ac:dyDescent="0.2">
      <c r="A13" s="118" t="s">
        <v>316</v>
      </c>
      <c r="B13" s="119" t="s">
        <v>289</v>
      </c>
      <c r="C13" s="120" t="s">
        <v>265</v>
      </c>
      <c r="D13" s="121" t="s">
        <v>320</v>
      </c>
      <c r="E13" s="121" t="s">
        <v>321</v>
      </c>
      <c r="F13" s="122" t="s">
        <v>322</v>
      </c>
      <c r="G13" s="121" t="s">
        <v>381</v>
      </c>
    </row>
    <row r="14" spans="1:7" ht="48" customHeight="1" x14ac:dyDescent="0.2">
      <c r="A14" s="113" t="s">
        <v>316</v>
      </c>
      <c r="B14" s="114" t="s">
        <v>294</v>
      </c>
      <c r="C14" s="123" t="s">
        <v>267</v>
      </c>
      <c r="D14" s="116" t="s">
        <v>323</v>
      </c>
      <c r="E14" s="116" t="s">
        <v>382</v>
      </c>
      <c r="F14" s="117" t="s">
        <v>322</v>
      </c>
      <c r="G14" s="116" t="s">
        <v>324</v>
      </c>
    </row>
    <row r="15" spans="1:7" ht="48" customHeight="1" x14ac:dyDescent="0.2">
      <c r="A15" s="118" t="s">
        <v>316</v>
      </c>
      <c r="B15" s="119" t="s">
        <v>298</v>
      </c>
      <c r="C15" s="124" t="s">
        <v>268</v>
      </c>
      <c r="D15" s="121" t="s">
        <v>313</v>
      </c>
      <c r="E15" s="121" t="s">
        <v>380</v>
      </c>
      <c r="F15" s="122" t="s">
        <v>314</v>
      </c>
      <c r="G15" s="121" t="s">
        <v>325</v>
      </c>
    </row>
    <row r="16" spans="1:7" ht="48" customHeight="1" x14ac:dyDescent="0.2">
      <c r="A16" s="113" t="s">
        <v>326</v>
      </c>
      <c r="B16" s="114" t="s">
        <v>109</v>
      </c>
      <c r="C16" s="123" t="s">
        <v>267</v>
      </c>
      <c r="D16" s="116" t="s">
        <v>327</v>
      </c>
      <c r="E16" s="116" t="s">
        <v>328</v>
      </c>
      <c r="F16" s="117" t="s">
        <v>304</v>
      </c>
      <c r="G16" s="116" t="s">
        <v>329</v>
      </c>
    </row>
    <row r="17" spans="1:7" ht="48" customHeight="1" x14ac:dyDescent="0.2">
      <c r="A17" s="118" t="s">
        <v>326</v>
      </c>
      <c r="B17" s="119" t="s">
        <v>289</v>
      </c>
      <c r="C17" s="120" t="s">
        <v>265</v>
      </c>
      <c r="D17" s="121" t="s">
        <v>330</v>
      </c>
      <c r="E17" s="121" t="s">
        <v>331</v>
      </c>
      <c r="F17" s="122" t="s">
        <v>332</v>
      </c>
      <c r="G17" s="121" t="s">
        <v>333</v>
      </c>
    </row>
    <row r="18" spans="1:7" ht="48" customHeight="1" x14ac:dyDescent="0.2">
      <c r="A18" s="113" t="s">
        <v>326</v>
      </c>
      <c r="B18" s="114" t="s">
        <v>294</v>
      </c>
      <c r="C18" s="123" t="s">
        <v>267</v>
      </c>
      <c r="D18" s="116" t="s">
        <v>334</v>
      </c>
      <c r="E18" s="116" t="s">
        <v>335</v>
      </c>
      <c r="F18" s="117" t="s">
        <v>322</v>
      </c>
      <c r="G18" s="116" t="s">
        <v>336</v>
      </c>
    </row>
    <row r="19" spans="1:7" ht="48" customHeight="1" x14ac:dyDescent="0.2">
      <c r="A19" s="118" t="s">
        <v>326</v>
      </c>
      <c r="B19" s="119" t="s">
        <v>298</v>
      </c>
      <c r="C19" s="120" t="s">
        <v>265</v>
      </c>
      <c r="D19" s="121" t="s">
        <v>337</v>
      </c>
      <c r="E19" s="121" t="s">
        <v>338</v>
      </c>
      <c r="F19" s="122" t="s">
        <v>304</v>
      </c>
      <c r="G19" s="121" t="s">
        <v>339</v>
      </c>
    </row>
    <row r="20" spans="1:7" ht="48" customHeight="1" x14ac:dyDescent="0.2">
      <c r="A20" s="113" t="s">
        <v>340</v>
      </c>
      <c r="B20" s="114" t="s">
        <v>109</v>
      </c>
      <c r="C20" s="120" t="s">
        <v>265</v>
      </c>
      <c r="D20" s="116" t="s">
        <v>341</v>
      </c>
      <c r="E20" s="116" t="s">
        <v>342</v>
      </c>
      <c r="F20" s="117" t="s">
        <v>304</v>
      </c>
      <c r="G20" s="116" t="s">
        <v>343</v>
      </c>
    </row>
    <row r="21" spans="1:7" ht="48" customHeight="1" x14ac:dyDescent="0.2">
      <c r="A21" s="118" t="s">
        <v>340</v>
      </c>
      <c r="B21" s="119" t="s">
        <v>289</v>
      </c>
      <c r="C21" s="123" t="s">
        <v>267</v>
      </c>
      <c r="D21" s="121" t="s">
        <v>344</v>
      </c>
      <c r="E21" s="121" t="s">
        <v>345</v>
      </c>
      <c r="F21" s="122" t="s">
        <v>322</v>
      </c>
      <c r="G21" s="121" t="s">
        <v>346</v>
      </c>
    </row>
    <row r="22" spans="1:7" ht="48" customHeight="1" x14ac:dyDescent="0.2">
      <c r="A22" s="113" t="s">
        <v>340</v>
      </c>
      <c r="B22" s="114" t="s">
        <v>294</v>
      </c>
      <c r="C22" s="124" t="s">
        <v>268</v>
      </c>
      <c r="D22" s="116" t="s">
        <v>313</v>
      </c>
      <c r="E22" s="116" t="s">
        <v>380</v>
      </c>
      <c r="F22" s="117" t="s">
        <v>314</v>
      </c>
      <c r="G22" s="116" t="s">
        <v>347</v>
      </c>
    </row>
    <row r="23" spans="1:7" ht="48" customHeight="1" x14ac:dyDescent="0.2">
      <c r="A23" s="118" t="s">
        <v>340</v>
      </c>
      <c r="B23" s="119" t="s">
        <v>298</v>
      </c>
      <c r="C23" s="115" t="s">
        <v>264</v>
      </c>
      <c r="D23" s="121" t="s">
        <v>348</v>
      </c>
      <c r="E23" s="121" t="s">
        <v>349</v>
      </c>
      <c r="F23" s="122" t="s">
        <v>292</v>
      </c>
      <c r="G23" s="121" t="s">
        <v>350</v>
      </c>
    </row>
    <row r="24" spans="1:7" ht="48" customHeight="1" x14ac:dyDescent="0.2">
      <c r="A24" s="113" t="s">
        <v>86</v>
      </c>
      <c r="B24" s="114" t="s">
        <v>109</v>
      </c>
      <c r="C24" s="125" t="s">
        <v>273</v>
      </c>
      <c r="D24" s="116" t="s">
        <v>383</v>
      </c>
      <c r="E24" s="116" t="s">
        <v>351</v>
      </c>
      <c r="F24" s="117" t="s">
        <v>314</v>
      </c>
      <c r="G24" s="116" t="s">
        <v>352</v>
      </c>
    </row>
    <row r="25" spans="1:7" ht="48" customHeight="1" x14ac:dyDescent="0.2">
      <c r="A25" s="118" t="s">
        <v>86</v>
      </c>
      <c r="B25" s="119" t="s">
        <v>289</v>
      </c>
      <c r="C25" s="120" t="s">
        <v>265</v>
      </c>
      <c r="D25" s="121" t="s">
        <v>353</v>
      </c>
      <c r="E25" s="121" t="s">
        <v>354</v>
      </c>
      <c r="F25" s="122" t="s">
        <v>304</v>
      </c>
      <c r="G25" s="121" t="s">
        <v>355</v>
      </c>
    </row>
    <row r="26" spans="1:7" ht="48" customHeight="1" x14ac:dyDescent="0.2">
      <c r="A26" s="113" t="s">
        <v>86</v>
      </c>
      <c r="B26" s="114" t="s">
        <v>294</v>
      </c>
      <c r="C26" s="125" t="s">
        <v>273</v>
      </c>
      <c r="D26" s="116" t="s">
        <v>383</v>
      </c>
      <c r="E26" s="116" t="s">
        <v>356</v>
      </c>
      <c r="F26" s="117" t="s">
        <v>314</v>
      </c>
      <c r="G26" s="116" t="s">
        <v>384</v>
      </c>
    </row>
    <row r="27" spans="1:7" ht="48" customHeight="1" x14ac:dyDescent="0.2">
      <c r="A27" s="118" t="s">
        <v>86</v>
      </c>
      <c r="B27" s="119" t="s">
        <v>298</v>
      </c>
      <c r="C27" s="115" t="s">
        <v>264</v>
      </c>
      <c r="D27" s="121" t="s">
        <v>357</v>
      </c>
      <c r="E27" s="121" t="s">
        <v>358</v>
      </c>
      <c r="F27" s="122" t="s">
        <v>311</v>
      </c>
      <c r="G27" s="121" t="s">
        <v>359</v>
      </c>
    </row>
    <row r="28" spans="1:7" ht="48" customHeight="1" x14ac:dyDescent="0.2">
      <c r="A28" s="113" t="s">
        <v>360</v>
      </c>
      <c r="B28" s="114" t="s">
        <v>109</v>
      </c>
      <c r="C28" s="120" t="s">
        <v>265</v>
      </c>
      <c r="D28" s="116" t="s">
        <v>361</v>
      </c>
      <c r="E28" s="116" t="s">
        <v>362</v>
      </c>
      <c r="F28" s="117" t="s">
        <v>322</v>
      </c>
      <c r="G28" s="116" t="s">
        <v>363</v>
      </c>
    </row>
    <row r="29" spans="1:7" ht="48" customHeight="1" x14ac:dyDescent="0.2">
      <c r="A29" s="118" t="s">
        <v>360</v>
      </c>
      <c r="B29" s="119" t="s">
        <v>289</v>
      </c>
      <c r="C29" s="120" t="s">
        <v>265</v>
      </c>
      <c r="D29" s="121" t="s">
        <v>364</v>
      </c>
      <c r="E29" s="121" t="s">
        <v>365</v>
      </c>
      <c r="F29" s="122" t="s">
        <v>304</v>
      </c>
      <c r="G29" s="121" t="s">
        <v>366</v>
      </c>
    </row>
    <row r="30" spans="1:7" ht="48" customHeight="1" x14ac:dyDescent="0.2">
      <c r="A30" s="113" t="s">
        <v>360</v>
      </c>
      <c r="B30" s="114" t="s">
        <v>294</v>
      </c>
      <c r="C30" s="115" t="s">
        <v>264</v>
      </c>
      <c r="D30" s="116" t="s">
        <v>367</v>
      </c>
      <c r="E30" s="116" t="s">
        <v>368</v>
      </c>
      <c r="F30" s="117" t="s">
        <v>369</v>
      </c>
      <c r="G30" s="116" t="s">
        <v>370</v>
      </c>
    </row>
    <row r="31" spans="1:7" ht="48" customHeight="1" x14ac:dyDescent="0.2">
      <c r="A31" s="118" t="s">
        <v>360</v>
      </c>
      <c r="B31" s="119" t="s">
        <v>298</v>
      </c>
      <c r="C31" s="123" t="s">
        <v>267</v>
      </c>
      <c r="D31" s="121" t="s">
        <v>371</v>
      </c>
      <c r="E31" s="121" t="s">
        <v>372</v>
      </c>
      <c r="F31" s="122" t="s">
        <v>322</v>
      </c>
      <c r="G31" s="121" t="s">
        <v>373</v>
      </c>
    </row>
    <row r="33" spans="1:7" ht="36" customHeight="1" x14ac:dyDescent="0.2">
      <c r="A33" s="88" t="s">
        <v>374</v>
      </c>
      <c r="B33" s="88"/>
      <c r="C33" s="88"/>
      <c r="D33" s="88"/>
      <c r="E33" s="88"/>
      <c r="F33" s="88"/>
      <c r="G33" s="88"/>
    </row>
  </sheetData>
  <mergeCells count="2">
    <mergeCell ref="A1:G1"/>
    <mergeCell ref="A33:G3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68C3-50A4-D048-BB8A-A3FEEC9AAEFD}">
  <dimension ref="A1:H18"/>
  <sheetViews>
    <sheetView zoomScale="150" zoomScaleNormal="150" workbookViewId="0">
      <pane xSplit="1" ySplit="4" topLeftCell="C5" activePane="bottomRight" state="frozen"/>
      <selection sqref="A1:L1"/>
      <selection pane="topRight" sqref="A1:L1"/>
      <selection pane="bottomLeft" sqref="A1:L1"/>
      <selection pane="bottomRight" sqref="A1:XFD1"/>
    </sheetView>
  </sheetViews>
  <sheetFormatPr baseColWidth="10" defaultColWidth="8.6640625" defaultRowHeight="15" x14ac:dyDescent="0.2"/>
  <cols>
    <col min="1" max="1" width="8" style="1" customWidth="1"/>
    <col min="2" max="6" width="16" style="1" customWidth="1"/>
    <col min="7" max="7" width="10" style="1" customWidth="1"/>
    <col min="8" max="8" width="30" style="1" customWidth="1"/>
    <col min="9" max="16384" width="8.6640625" style="1"/>
  </cols>
  <sheetData>
    <row r="1" spans="1:8" s="128" customFormat="1" ht="30" customHeight="1" x14ac:dyDescent="0.2">
      <c r="A1" s="126" t="s">
        <v>253</v>
      </c>
      <c r="B1" s="126"/>
      <c r="C1" s="126"/>
      <c r="D1" s="126"/>
      <c r="E1" s="126"/>
      <c r="F1" s="126"/>
      <c r="G1" s="126"/>
      <c r="H1" s="126"/>
    </row>
    <row r="2" spans="1:8" ht="24.75" customHeight="1" x14ac:dyDescent="0.2">
      <c r="A2" s="2" t="s">
        <v>135</v>
      </c>
      <c r="B2" s="2"/>
      <c r="C2" s="2"/>
      <c r="D2" s="2"/>
      <c r="E2" s="2"/>
      <c r="F2" s="2"/>
      <c r="G2" s="2"/>
      <c r="H2" s="2"/>
    </row>
    <row r="4" spans="1:8" ht="45" customHeight="1" thickBot="1" x14ac:dyDescent="0.25">
      <c r="A4" s="58" t="s">
        <v>37</v>
      </c>
      <c r="B4" s="59" t="s">
        <v>136</v>
      </c>
      <c r="C4" s="60" t="s">
        <v>137</v>
      </c>
      <c r="D4" s="61" t="s">
        <v>138</v>
      </c>
      <c r="E4" s="62" t="s">
        <v>139</v>
      </c>
      <c r="F4" s="63" t="s">
        <v>140</v>
      </c>
      <c r="G4" s="58" t="s">
        <v>141</v>
      </c>
      <c r="H4" s="58" t="s">
        <v>108</v>
      </c>
    </row>
    <row r="5" spans="1:8" ht="21.75" customHeight="1" x14ac:dyDescent="0.2">
      <c r="A5" s="64" t="s">
        <v>142</v>
      </c>
      <c r="B5" s="65">
        <v>1</v>
      </c>
      <c r="C5" s="66">
        <v>0</v>
      </c>
      <c r="D5" s="67">
        <v>0</v>
      </c>
      <c r="E5" s="68">
        <v>0</v>
      </c>
      <c r="F5" s="69">
        <v>0</v>
      </c>
      <c r="G5" s="70">
        <v>1</v>
      </c>
      <c r="H5" s="71" t="s">
        <v>244</v>
      </c>
    </row>
    <row r="6" spans="1:8" ht="21.75" customHeight="1" x14ac:dyDescent="0.2">
      <c r="A6" s="72" t="s">
        <v>143</v>
      </c>
      <c r="B6" s="65">
        <v>2</v>
      </c>
      <c r="C6" s="66">
        <v>0</v>
      </c>
      <c r="D6" s="67">
        <v>0</v>
      </c>
      <c r="E6" s="68">
        <v>0</v>
      </c>
      <c r="F6" s="69">
        <v>0</v>
      </c>
      <c r="G6" s="70">
        <v>2</v>
      </c>
      <c r="H6" s="73" t="s">
        <v>144</v>
      </c>
    </row>
    <row r="7" spans="1:8" ht="21.75" customHeight="1" x14ac:dyDescent="0.2">
      <c r="A7" s="64" t="s">
        <v>145</v>
      </c>
      <c r="B7" s="65">
        <v>2</v>
      </c>
      <c r="C7" s="74">
        <v>1</v>
      </c>
      <c r="D7" s="67">
        <v>0</v>
      </c>
      <c r="E7" s="68">
        <v>0</v>
      </c>
      <c r="F7" s="69">
        <v>0</v>
      </c>
      <c r="G7" s="70">
        <v>3</v>
      </c>
      <c r="H7" s="71" t="s">
        <v>146</v>
      </c>
    </row>
    <row r="8" spans="1:8" ht="21.75" customHeight="1" x14ac:dyDescent="0.2">
      <c r="A8" s="72" t="s">
        <v>147</v>
      </c>
      <c r="B8" s="65">
        <v>6</v>
      </c>
      <c r="C8" s="74">
        <v>1</v>
      </c>
      <c r="D8" s="67">
        <v>0</v>
      </c>
      <c r="E8" s="68">
        <v>0</v>
      </c>
      <c r="F8" s="69">
        <v>0</v>
      </c>
      <c r="G8" s="70">
        <v>7</v>
      </c>
      <c r="H8" s="73" t="s">
        <v>148</v>
      </c>
    </row>
    <row r="9" spans="1:8" ht="21.75" customHeight="1" x14ac:dyDescent="0.2">
      <c r="A9" s="64" t="s">
        <v>149</v>
      </c>
      <c r="B9" s="65">
        <v>3</v>
      </c>
      <c r="C9" s="74">
        <v>2</v>
      </c>
      <c r="D9" s="67">
        <v>0</v>
      </c>
      <c r="E9" s="68">
        <v>0</v>
      </c>
      <c r="F9" s="69">
        <v>0</v>
      </c>
      <c r="G9" s="70">
        <v>5</v>
      </c>
      <c r="H9" s="71" t="s">
        <v>150</v>
      </c>
    </row>
    <row r="10" spans="1:8" ht="21.75" customHeight="1" x14ac:dyDescent="0.2">
      <c r="A10" s="72" t="s">
        <v>151</v>
      </c>
      <c r="B10" s="65">
        <v>3</v>
      </c>
      <c r="C10" s="74">
        <v>3</v>
      </c>
      <c r="D10" s="67">
        <v>0</v>
      </c>
      <c r="E10" s="75">
        <v>1</v>
      </c>
      <c r="F10" s="69">
        <v>0</v>
      </c>
      <c r="G10" s="70">
        <v>7</v>
      </c>
      <c r="H10" s="73" t="s">
        <v>152</v>
      </c>
    </row>
    <row r="11" spans="1:8" ht="21.75" customHeight="1" x14ac:dyDescent="0.2">
      <c r="A11" s="64" t="s">
        <v>153</v>
      </c>
      <c r="B11" s="65">
        <v>2</v>
      </c>
      <c r="C11" s="74">
        <v>4</v>
      </c>
      <c r="D11" s="76">
        <v>2</v>
      </c>
      <c r="E11" s="75">
        <v>3</v>
      </c>
      <c r="F11" s="69">
        <v>0</v>
      </c>
      <c r="G11" s="70">
        <v>11</v>
      </c>
      <c r="H11" s="71" t="s">
        <v>154</v>
      </c>
    </row>
    <row r="12" spans="1:8" ht="21.75" customHeight="1" x14ac:dyDescent="0.2">
      <c r="A12" s="72" t="s">
        <v>155</v>
      </c>
      <c r="B12" s="65">
        <v>2</v>
      </c>
      <c r="C12" s="74">
        <v>4</v>
      </c>
      <c r="D12" s="76">
        <v>2</v>
      </c>
      <c r="E12" s="75">
        <v>1</v>
      </c>
      <c r="F12" s="77">
        <v>1</v>
      </c>
      <c r="G12" s="70">
        <v>10</v>
      </c>
      <c r="H12" s="73" t="s">
        <v>156</v>
      </c>
    </row>
    <row r="13" spans="1:8" ht="21.75" customHeight="1" x14ac:dyDescent="0.2">
      <c r="A13" s="64" t="s">
        <v>157</v>
      </c>
      <c r="B13" s="65">
        <v>6</v>
      </c>
      <c r="C13" s="74">
        <v>2</v>
      </c>
      <c r="D13" s="76">
        <v>3</v>
      </c>
      <c r="E13" s="68">
        <v>0</v>
      </c>
      <c r="F13" s="77">
        <v>1</v>
      </c>
      <c r="G13" s="70">
        <v>12</v>
      </c>
      <c r="H13" s="71" t="s">
        <v>158</v>
      </c>
    </row>
    <row r="14" spans="1:8" ht="21.75" customHeight="1" x14ac:dyDescent="0.2">
      <c r="A14" s="72" t="s">
        <v>159</v>
      </c>
      <c r="B14" s="65">
        <v>4</v>
      </c>
      <c r="C14" s="74">
        <v>2</v>
      </c>
      <c r="D14" s="76">
        <v>4</v>
      </c>
      <c r="E14" s="68">
        <v>0</v>
      </c>
      <c r="F14" s="69">
        <v>0</v>
      </c>
      <c r="G14" s="70">
        <v>10</v>
      </c>
      <c r="H14" s="73" t="s">
        <v>160</v>
      </c>
    </row>
    <row r="15" spans="1:8" ht="21.75" customHeight="1" thickBot="1" x14ac:dyDescent="0.25">
      <c r="A15" s="64" t="s">
        <v>161</v>
      </c>
      <c r="B15" s="65">
        <v>1</v>
      </c>
      <c r="C15" s="74">
        <v>1</v>
      </c>
      <c r="D15" s="67">
        <v>0</v>
      </c>
      <c r="E15" s="75">
        <v>1</v>
      </c>
      <c r="F15" s="69">
        <v>0</v>
      </c>
      <c r="G15" s="70">
        <v>3</v>
      </c>
      <c r="H15" s="71" t="s">
        <v>162</v>
      </c>
    </row>
    <row r="16" spans="1:8" ht="21.75" customHeight="1" thickBot="1" x14ac:dyDescent="0.25">
      <c r="A16" s="78" t="s">
        <v>163</v>
      </c>
      <c r="B16" s="79">
        <v>32</v>
      </c>
      <c r="C16" s="80">
        <v>20</v>
      </c>
      <c r="D16" s="81">
        <v>11</v>
      </c>
      <c r="E16" s="82">
        <v>6</v>
      </c>
      <c r="F16" s="83">
        <v>2</v>
      </c>
      <c r="G16" s="84">
        <v>71</v>
      </c>
      <c r="H16" s="85" t="s">
        <v>254</v>
      </c>
    </row>
    <row r="18" spans="1:7" x14ac:dyDescent="0.2">
      <c r="A18" s="86" t="s">
        <v>164</v>
      </c>
      <c r="B18" s="87">
        <f t="shared" ref="B18:G18" si="0">SUM(B5:B15)</f>
        <v>32</v>
      </c>
      <c r="C18" s="87">
        <f t="shared" si="0"/>
        <v>20</v>
      </c>
      <c r="D18" s="87">
        <f t="shared" si="0"/>
        <v>11</v>
      </c>
      <c r="E18" s="87">
        <f t="shared" si="0"/>
        <v>6</v>
      </c>
      <c r="F18" s="87">
        <f t="shared" si="0"/>
        <v>2</v>
      </c>
      <c r="G18" s="87">
        <f t="shared" si="0"/>
        <v>71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79CCE-8D1D-8343-B3BF-4D2111936C33}">
  <dimension ref="A1:L41"/>
  <sheetViews>
    <sheetView tabSelected="1" zoomScaleNormal="100" workbookViewId="0">
      <selection activeCell="S42" sqref="S42"/>
    </sheetView>
  </sheetViews>
  <sheetFormatPr baseColWidth="10" defaultColWidth="8.6640625" defaultRowHeight="15" x14ac:dyDescent="0.2"/>
  <cols>
    <col min="1" max="16384" width="8.6640625" style="1"/>
  </cols>
  <sheetData>
    <row r="1" spans="1:12" ht="21.75" customHeight="1" x14ac:dyDescent="0.2">
      <c r="A1" s="127" t="s">
        <v>255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spans="1:12" ht="18" customHeight="1" x14ac:dyDescent="0.2">
      <c r="A2" s="88" t="s">
        <v>256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</row>
    <row r="36" spans="1:12" x14ac:dyDescent="0.2">
      <c r="A36" s="57" t="s">
        <v>257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</row>
    <row r="37" spans="1:12" ht="15.75" customHeight="1" x14ac:dyDescent="0.2">
      <c r="A37" s="89"/>
      <c r="B37" s="90" t="s">
        <v>245</v>
      </c>
      <c r="C37" s="91" t="s">
        <v>165</v>
      </c>
    </row>
    <row r="38" spans="1:12" ht="15.75" customHeight="1" x14ac:dyDescent="0.2">
      <c r="A38" s="92"/>
      <c r="B38" s="90" t="s">
        <v>246</v>
      </c>
      <c r="C38" s="93" t="s">
        <v>166</v>
      </c>
    </row>
    <row r="39" spans="1:12" ht="15.75" customHeight="1" x14ac:dyDescent="0.2">
      <c r="A39" s="94"/>
      <c r="B39" s="90" t="s">
        <v>247</v>
      </c>
      <c r="C39" s="95" t="s">
        <v>167</v>
      </c>
    </row>
    <row r="40" spans="1:12" ht="15.75" customHeight="1" x14ac:dyDescent="0.2">
      <c r="A40" s="96"/>
      <c r="B40" s="90" t="s">
        <v>248</v>
      </c>
      <c r="C40" s="97" t="s">
        <v>168</v>
      </c>
    </row>
    <row r="41" spans="1:12" ht="15.75" customHeight="1" x14ac:dyDescent="0.2">
      <c r="A41" s="98"/>
      <c r="B41" s="90" t="s">
        <v>249</v>
      </c>
      <c r="C41" s="99" t="s">
        <v>169</v>
      </c>
    </row>
  </sheetData>
  <mergeCells count="3">
    <mergeCell ref="A1:L1"/>
    <mergeCell ref="A2:L2"/>
    <mergeCell ref="A36:L3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1B00-6C04-A145-BAC9-B1A50403E936}">
  <dimension ref="A1:I26"/>
  <sheetViews>
    <sheetView zoomScale="120" zoomScaleNormal="120" workbookViewId="0">
      <selection sqref="A1:I1"/>
    </sheetView>
  </sheetViews>
  <sheetFormatPr baseColWidth="10" defaultColWidth="8.6640625" defaultRowHeight="15" x14ac:dyDescent="0.2"/>
  <cols>
    <col min="1" max="1" width="32" style="1" customWidth="1"/>
    <col min="2" max="2" width="7" style="1" customWidth="1"/>
    <col min="3" max="3" width="18" style="1" customWidth="1"/>
    <col min="4" max="6" width="20" style="1" customWidth="1"/>
    <col min="7" max="8" width="18" style="1" customWidth="1"/>
    <col min="9" max="9" width="38" style="1" customWidth="1"/>
    <col min="10" max="16384" width="8.6640625" style="1"/>
  </cols>
  <sheetData>
    <row r="1" spans="1:9" ht="25.5" customHeight="1" x14ac:dyDescent="0.2">
      <c r="A1" s="126" t="s">
        <v>250</v>
      </c>
      <c r="B1" s="126"/>
      <c r="C1" s="126"/>
      <c r="D1" s="126"/>
      <c r="E1" s="126"/>
      <c r="F1" s="126"/>
      <c r="G1" s="126"/>
      <c r="H1" s="126"/>
      <c r="I1" s="126"/>
    </row>
    <row r="2" spans="1:9" ht="19.5" customHeight="1" x14ac:dyDescent="0.2">
      <c r="A2" s="2" t="s">
        <v>170</v>
      </c>
      <c r="B2" s="2"/>
      <c r="C2" s="2"/>
      <c r="D2" s="2"/>
      <c r="E2" s="2"/>
      <c r="F2" s="2"/>
      <c r="G2" s="2"/>
      <c r="H2" s="2"/>
      <c r="I2" s="2"/>
    </row>
    <row r="4" spans="1:9" ht="34.5" customHeight="1" thickBot="1" x14ac:dyDescent="0.25">
      <c r="A4" s="3" t="s">
        <v>103</v>
      </c>
      <c r="B4" s="3" t="s">
        <v>37</v>
      </c>
      <c r="C4" s="3" t="s">
        <v>171</v>
      </c>
      <c r="D4" s="3" t="s">
        <v>172</v>
      </c>
      <c r="E4" s="3" t="s">
        <v>173</v>
      </c>
      <c r="F4" s="3" t="s">
        <v>174</v>
      </c>
      <c r="G4" s="3" t="s">
        <v>175</v>
      </c>
      <c r="H4" s="3" t="s">
        <v>176</v>
      </c>
      <c r="I4" s="3" t="s">
        <v>108</v>
      </c>
    </row>
    <row r="5" spans="1:9" ht="37.5" customHeight="1" x14ac:dyDescent="0.2">
      <c r="A5" s="4" t="s">
        <v>99</v>
      </c>
      <c r="B5" s="5">
        <v>2025</v>
      </c>
      <c r="C5" s="6" t="s">
        <v>177</v>
      </c>
      <c r="D5" s="7">
        <v>1</v>
      </c>
      <c r="E5" s="8">
        <v>0</v>
      </c>
      <c r="F5" s="9">
        <v>1</v>
      </c>
      <c r="G5" s="8">
        <v>0</v>
      </c>
      <c r="H5" s="10" t="s">
        <v>178</v>
      </c>
      <c r="I5" s="11" t="s">
        <v>179</v>
      </c>
    </row>
    <row r="6" spans="1:9" ht="37.5" customHeight="1" x14ac:dyDescent="0.2">
      <c r="A6" s="12" t="s">
        <v>79</v>
      </c>
      <c r="B6" s="5">
        <v>2023</v>
      </c>
      <c r="C6" s="13" t="s">
        <v>180</v>
      </c>
      <c r="D6" s="7">
        <v>1</v>
      </c>
      <c r="E6" s="8">
        <v>0</v>
      </c>
      <c r="F6" s="8">
        <v>0</v>
      </c>
      <c r="G6" s="8">
        <v>0</v>
      </c>
      <c r="H6" s="10" t="s">
        <v>181</v>
      </c>
      <c r="I6" s="11" t="s">
        <v>182</v>
      </c>
    </row>
    <row r="7" spans="1:9" ht="37.5" customHeight="1" x14ac:dyDescent="0.2">
      <c r="A7" s="14" t="s">
        <v>183</v>
      </c>
      <c r="B7" s="5">
        <v>2024</v>
      </c>
      <c r="C7" s="15" t="s">
        <v>184</v>
      </c>
      <c r="D7" s="7">
        <v>1</v>
      </c>
      <c r="E7" s="8">
        <v>0</v>
      </c>
      <c r="F7" s="8">
        <v>0</v>
      </c>
      <c r="G7" s="8">
        <v>0</v>
      </c>
      <c r="H7" s="10" t="s">
        <v>181</v>
      </c>
      <c r="I7" s="11" t="s">
        <v>185</v>
      </c>
    </row>
    <row r="8" spans="1:9" ht="37.5" customHeight="1" x14ac:dyDescent="0.2">
      <c r="A8" s="14" t="s">
        <v>186</v>
      </c>
      <c r="B8" s="5">
        <v>2025</v>
      </c>
      <c r="C8" s="15" t="s">
        <v>187</v>
      </c>
      <c r="D8" s="7">
        <v>1</v>
      </c>
      <c r="E8" s="8">
        <v>0</v>
      </c>
      <c r="F8" s="8">
        <v>0</v>
      </c>
      <c r="G8" s="8">
        <v>0</v>
      </c>
      <c r="H8" s="10" t="s">
        <v>181</v>
      </c>
      <c r="I8" s="11" t="s">
        <v>188</v>
      </c>
    </row>
    <row r="9" spans="1:9" ht="37.5" customHeight="1" x14ac:dyDescent="0.2">
      <c r="A9" s="16" t="s">
        <v>189</v>
      </c>
      <c r="B9" s="5">
        <v>2023</v>
      </c>
      <c r="C9" s="17" t="s">
        <v>190</v>
      </c>
      <c r="D9" s="7">
        <v>1</v>
      </c>
      <c r="E9" s="8">
        <v>0</v>
      </c>
      <c r="F9" s="8">
        <v>0</v>
      </c>
      <c r="G9" s="8">
        <v>0</v>
      </c>
      <c r="H9" s="10" t="s">
        <v>181</v>
      </c>
      <c r="I9" s="11" t="s">
        <v>191</v>
      </c>
    </row>
    <row r="10" spans="1:9" ht="37.5" customHeight="1" x14ac:dyDescent="0.2">
      <c r="A10" s="16" t="s">
        <v>192</v>
      </c>
      <c r="B10" s="5">
        <v>2024</v>
      </c>
      <c r="C10" s="17" t="s">
        <v>190</v>
      </c>
      <c r="D10" s="7">
        <v>1</v>
      </c>
      <c r="E10" s="8">
        <v>0</v>
      </c>
      <c r="F10" s="8">
        <v>0</v>
      </c>
      <c r="G10" s="8">
        <v>0</v>
      </c>
      <c r="H10" s="10" t="s">
        <v>181</v>
      </c>
      <c r="I10" s="11" t="s">
        <v>193</v>
      </c>
    </row>
    <row r="11" spans="1:9" ht="37.5" customHeight="1" x14ac:dyDescent="0.2">
      <c r="A11" s="12" t="s">
        <v>194</v>
      </c>
      <c r="B11" s="5">
        <v>2019</v>
      </c>
      <c r="C11" s="13" t="s">
        <v>180</v>
      </c>
      <c r="D11" s="7">
        <v>1</v>
      </c>
      <c r="E11" s="8">
        <v>0</v>
      </c>
      <c r="F11" s="8">
        <v>0</v>
      </c>
      <c r="G11" s="8">
        <v>0</v>
      </c>
      <c r="H11" s="10" t="s">
        <v>181</v>
      </c>
      <c r="I11" s="11" t="s">
        <v>195</v>
      </c>
    </row>
    <row r="12" spans="1:9" ht="37.5" customHeight="1" x14ac:dyDescent="0.2">
      <c r="A12" s="12" t="s">
        <v>196</v>
      </c>
      <c r="B12" s="5">
        <v>2022</v>
      </c>
      <c r="C12" s="13" t="s">
        <v>180</v>
      </c>
      <c r="D12" s="7">
        <v>1</v>
      </c>
      <c r="E12" s="8">
        <v>0</v>
      </c>
      <c r="F12" s="8">
        <v>0</v>
      </c>
      <c r="G12" s="8">
        <v>0</v>
      </c>
      <c r="H12" s="10" t="s">
        <v>181</v>
      </c>
      <c r="I12" s="11" t="s">
        <v>197</v>
      </c>
    </row>
    <row r="13" spans="1:9" ht="37.5" customHeight="1" x14ac:dyDescent="0.2">
      <c r="A13" s="12" t="s">
        <v>198</v>
      </c>
      <c r="B13" s="5">
        <v>2023</v>
      </c>
      <c r="C13" s="13" t="s">
        <v>180</v>
      </c>
      <c r="D13" s="7">
        <v>1</v>
      </c>
      <c r="E13" s="8">
        <v>0</v>
      </c>
      <c r="F13" s="8">
        <v>0</v>
      </c>
      <c r="G13" s="8">
        <v>0</v>
      </c>
      <c r="H13" s="10" t="s">
        <v>181</v>
      </c>
      <c r="I13" s="11" t="s">
        <v>199</v>
      </c>
    </row>
    <row r="14" spans="1:9" ht="37.5" customHeight="1" x14ac:dyDescent="0.2">
      <c r="A14" s="4" t="s">
        <v>200</v>
      </c>
      <c r="B14" s="5">
        <v>2022</v>
      </c>
      <c r="C14" s="6" t="s">
        <v>177</v>
      </c>
      <c r="D14" s="7">
        <v>1</v>
      </c>
      <c r="E14" s="8">
        <v>0</v>
      </c>
      <c r="F14" s="8">
        <v>0</v>
      </c>
      <c r="G14" s="8">
        <v>0</v>
      </c>
      <c r="H14" s="10" t="s">
        <v>181</v>
      </c>
      <c r="I14" s="11" t="s">
        <v>201</v>
      </c>
    </row>
    <row r="15" spans="1:9" ht="37.5" customHeight="1" x14ac:dyDescent="0.2">
      <c r="A15" s="14" t="s">
        <v>202</v>
      </c>
      <c r="B15" s="5">
        <v>2022</v>
      </c>
      <c r="C15" s="15" t="s">
        <v>184</v>
      </c>
      <c r="D15" s="7">
        <v>1</v>
      </c>
      <c r="E15" s="8">
        <v>0</v>
      </c>
      <c r="F15" s="8">
        <v>0</v>
      </c>
      <c r="G15" s="8">
        <v>0</v>
      </c>
      <c r="H15" s="10" t="s">
        <v>181</v>
      </c>
      <c r="I15" s="11" t="s">
        <v>203</v>
      </c>
    </row>
    <row r="16" spans="1:9" ht="37.5" customHeight="1" x14ac:dyDescent="0.2">
      <c r="A16" s="16" t="s">
        <v>204</v>
      </c>
      <c r="B16" s="5">
        <v>2021</v>
      </c>
      <c r="C16" s="17" t="s">
        <v>190</v>
      </c>
      <c r="D16" s="7">
        <v>1</v>
      </c>
      <c r="E16" s="8">
        <v>0</v>
      </c>
      <c r="F16" s="8">
        <v>0</v>
      </c>
      <c r="G16" s="8">
        <v>0</v>
      </c>
      <c r="H16" s="10" t="s">
        <v>181</v>
      </c>
      <c r="I16" s="11" t="s">
        <v>205</v>
      </c>
    </row>
    <row r="17" spans="1:9" ht="37.5" customHeight="1" x14ac:dyDescent="0.2">
      <c r="A17" s="14" t="s">
        <v>206</v>
      </c>
      <c r="B17" s="5">
        <v>2026</v>
      </c>
      <c r="C17" s="15" t="s">
        <v>207</v>
      </c>
      <c r="D17" s="7">
        <v>1</v>
      </c>
      <c r="E17" s="8">
        <v>0</v>
      </c>
      <c r="F17" s="8">
        <v>0</v>
      </c>
      <c r="G17" s="8">
        <v>0</v>
      </c>
      <c r="H17" s="10" t="s">
        <v>181</v>
      </c>
      <c r="I17" s="11" t="s">
        <v>208</v>
      </c>
    </row>
    <row r="18" spans="1:9" ht="37.5" customHeight="1" x14ac:dyDescent="0.2">
      <c r="A18" s="14" t="s">
        <v>94</v>
      </c>
      <c r="B18" s="5">
        <v>2024</v>
      </c>
      <c r="C18" s="15" t="s">
        <v>207</v>
      </c>
      <c r="D18" s="8">
        <v>0</v>
      </c>
      <c r="E18" s="7">
        <v>1</v>
      </c>
      <c r="F18" s="8">
        <v>0</v>
      </c>
      <c r="G18" s="8">
        <v>0</v>
      </c>
      <c r="H18" s="10" t="s">
        <v>209</v>
      </c>
      <c r="I18" s="11" t="s">
        <v>210</v>
      </c>
    </row>
    <row r="19" spans="1:9" ht="37.5" customHeight="1" x14ac:dyDescent="0.2">
      <c r="A19" s="14" t="s">
        <v>211</v>
      </c>
      <c r="B19" s="5">
        <v>2020</v>
      </c>
      <c r="C19" s="15" t="s">
        <v>207</v>
      </c>
      <c r="D19" s="8">
        <v>0</v>
      </c>
      <c r="E19" s="7">
        <v>1</v>
      </c>
      <c r="F19" s="8">
        <v>0</v>
      </c>
      <c r="G19" s="8">
        <v>0</v>
      </c>
      <c r="H19" s="10" t="s">
        <v>209</v>
      </c>
      <c r="I19" s="11" t="s">
        <v>212</v>
      </c>
    </row>
    <row r="20" spans="1:9" ht="37.5" customHeight="1" x14ac:dyDescent="0.2">
      <c r="A20" s="18" t="s">
        <v>213</v>
      </c>
      <c r="B20" s="5">
        <v>2021</v>
      </c>
      <c r="C20" s="19" t="s">
        <v>214</v>
      </c>
      <c r="D20" s="8">
        <v>0</v>
      </c>
      <c r="E20" s="8">
        <v>0</v>
      </c>
      <c r="F20" s="9">
        <v>1</v>
      </c>
      <c r="G20" s="8">
        <v>0</v>
      </c>
      <c r="H20" s="10" t="s">
        <v>215</v>
      </c>
      <c r="I20" s="11" t="s">
        <v>216</v>
      </c>
    </row>
    <row r="21" spans="1:9" ht="37.5" customHeight="1" x14ac:dyDescent="0.2">
      <c r="A21" s="12" t="s">
        <v>217</v>
      </c>
      <c r="B21" s="5">
        <v>2021</v>
      </c>
      <c r="C21" s="13" t="s">
        <v>218</v>
      </c>
      <c r="D21" s="20">
        <v>0.5</v>
      </c>
      <c r="E21" s="8">
        <v>0</v>
      </c>
      <c r="F21" s="8">
        <v>0</v>
      </c>
      <c r="G21" s="21">
        <v>1</v>
      </c>
      <c r="H21" s="10" t="s">
        <v>219</v>
      </c>
      <c r="I21" s="11" t="s">
        <v>220</v>
      </c>
    </row>
    <row r="22" spans="1:9" ht="37.5" customHeight="1" x14ac:dyDescent="0.2">
      <c r="A22" s="4" t="s">
        <v>221</v>
      </c>
      <c r="B22" s="5">
        <v>2025</v>
      </c>
      <c r="C22" s="6" t="s">
        <v>177</v>
      </c>
      <c r="D22" s="7">
        <v>1</v>
      </c>
      <c r="E22" s="8">
        <v>0</v>
      </c>
      <c r="F22" s="8">
        <v>0</v>
      </c>
      <c r="G22" s="21">
        <v>1</v>
      </c>
      <c r="H22" s="10" t="s">
        <v>222</v>
      </c>
      <c r="I22" s="11" t="s">
        <v>223</v>
      </c>
    </row>
    <row r="23" spans="1:9" ht="37.5" customHeight="1" x14ac:dyDescent="0.2">
      <c r="A23" s="14" t="s">
        <v>224</v>
      </c>
      <c r="B23" s="5">
        <v>2024</v>
      </c>
      <c r="C23" s="15" t="s">
        <v>184</v>
      </c>
      <c r="D23" s="20">
        <v>0.5</v>
      </c>
      <c r="E23" s="8">
        <v>0</v>
      </c>
      <c r="F23" s="8">
        <v>0</v>
      </c>
      <c r="G23" s="21">
        <v>1</v>
      </c>
      <c r="H23" s="10" t="s">
        <v>219</v>
      </c>
      <c r="I23" s="11" t="s">
        <v>225</v>
      </c>
    </row>
    <row r="24" spans="1:9" ht="37.5" customHeight="1" x14ac:dyDescent="0.2">
      <c r="A24" s="14" t="s">
        <v>226</v>
      </c>
      <c r="B24" s="5">
        <v>2025</v>
      </c>
      <c r="C24" s="15" t="s">
        <v>184</v>
      </c>
      <c r="D24" s="20">
        <v>0.5</v>
      </c>
      <c r="E24" s="8">
        <v>0</v>
      </c>
      <c r="F24" s="8">
        <v>0</v>
      </c>
      <c r="G24" s="21">
        <v>1</v>
      </c>
      <c r="H24" s="10" t="s">
        <v>219</v>
      </c>
      <c r="I24" s="11" t="s">
        <v>227</v>
      </c>
    </row>
    <row r="25" spans="1:9" ht="37.5" customHeight="1" x14ac:dyDescent="0.2">
      <c r="A25" s="12" t="s">
        <v>228</v>
      </c>
      <c r="B25" s="5">
        <v>2025</v>
      </c>
      <c r="C25" s="13" t="s">
        <v>180</v>
      </c>
      <c r="D25" s="8">
        <v>0</v>
      </c>
      <c r="E25" s="8">
        <v>0</v>
      </c>
      <c r="F25" s="8">
        <v>0</v>
      </c>
      <c r="G25" s="21">
        <v>1</v>
      </c>
      <c r="H25" s="10" t="s">
        <v>219</v>
      </c>
      <c r="I25" s="11" t="s">
        <v>229</v>
      </c>
    </row>
    <row r="26" spans="1:9" ht="30" customHeight="1" x14ac:dyDescent="0.2">
      <c r="A26" s="22" t="s">
        <v>230</v>
      </c>
      <c r="B26" s="22"/>
      <c r="C26" s="22"/>
      <c r="D26" s="22"/>
      <c r="E26" s="22"/>
      <c r="F26" s="22"/>
      <c r="G26" s="22"/>
      <c r="H26" s="22"/>
      <c r="I26" s="22"/>
    </row>
  </sheetData>
  <mergeCells count="3">
    <mergeCell ref="A1:I1"/>
    <mergeCell ref="A2:I2"/>
    <mergeCell ref="A26:I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Figure 2 — Raw Data</vt:lpstr>
      <vt:lpstr>Figure 3 — Raw Data</vt:lpstr>
      <vt:lpstr>Figure 3 — Chart Data</vt:lpstr>
      <vt:lpstr>Figure 4 — Raw Data</vt:lpstr>
      <vt:lpstr>Figure 4 — Evidence Reference</vt:lpstr>
      <vt:lpstr>Figure 5 — Raw Data</vt:lpstr>
      <vt:lpstr>Figure 5 — Chart</vt:lpstr>
      <vt:lpstr>Figure 6 — 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Blessing I Adeika</dc:creator>
  <cp:lastModifiedBy>Blessing I Adeika</cp:lastModifiedBy>
  <dcterms:created xsi:type="dcterms:W3CDTF">2026-05-04T20:29:52Z</dcterms:created>
  <dcterms:modified xsi:type="dcterms:W3CDTF">2026-05-05T06:40:43Z</dcterms:modified>
</cp:coreProperties>
</file>